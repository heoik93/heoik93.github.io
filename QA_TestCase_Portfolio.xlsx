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ell\OneDrive\Desktop\Dev\PJ\heoik93.github.io\"/>
    </mc:Choice>
  </mc:AlternateContent>
  <xr:revisionPtr revIDLastSave="0" documentId="13_ncr:1_{9A146E4D-AE58-487D-AFCD-D405FE67C6A7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Test Result" sheetId="6" r:id="rId1"/>
    <sheet name="Decision Table Case" sheetId="1" r:id="rId2"/>
    <sheet name="CheckList Case" sheetId="12" r:id="rId3"/>
    <sheet name="FieldRule Case" sheetId="4" r:id="rId4"/>
    <sheet name="E2E Case" sheetId="10" r:id="rId5"/>
    <sheet name="Bug Report" sheetId="8" r:id="rId6"/>
    <sheet name="Layout" sheetId="5" r:id="rId7"/>
  </sheets>
  <definedNames>
    <definedName name="_xlnm._FilterDatabase" localSheetId="2" hidden="1">'CheckList Case'!$A$2:$I$26</definedName>
    <definedName name="_xlnm._FilterDatabase" localSheetId="0" hidden="1">'Test Result'!$S$2:$V$2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6" l="1"/>
  <c r="C12" i="6"/>
  <c r="C4" i="6"/>
  <c r="C3" i="6"/>
  <c r="C11" i="6"/>
  <c r="C8" i="6"/>
  <c r="C5" i="6"/>
  <c r="C2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43" i="6"/>
  <c r="U35" i="6"/>
  <c r="U36" i="6"/>
  <c r="U37" i="6"/>
  <c r="U38" i="6"/>
  <c r="U39" i="6"/>
  <c r="U40" i="6"/>
  <c r="U41" i="6"/>
  <c r="U42" i="6"/>
  <c r="U34" i="6"/>
  <c r="U22" i="6"/>
  <c r="U23" i="6"/>
  <c r="U24" i="6"/>
  <c r="U25" i="6"/>
  <c r="U26" i="6"/>
  <c r="U27" i="6"/>
  <c r="U28" i="6"/>
  <c r="U29" i="6"/>
  <c r="U30" i="6"/>
  <c r="U31" i="6"/>
  <c r="U32" i="6"/>
  <c r="U33" i="6"/>
  <c r="U21" i="6"/>
  <c r="U96" i="6"/>
  <c r="U68" i="6"/>
  <c r="U69" i="6"/>
  <c r="U70" i="6"/>
  <c r="U71" i="6"/>
  <c r="U72" i="6"/>
  <c r="U73" i="6"/>
  <c r="U74" i="6"/>
  <c r="U75" i="6"/>
  <c r="U76" i="6"/>
  <c r="C10" i="6" s="1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67" i="6"/>
  <c r="C9" i="6" s="1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3" i="6"/>
  <c r="C6" i="6" l="1"/>
  <c r="C15" i="6" s="1"/>
  <c r="C7" i="6"/>
  <c r="C16" i="6" s="1"/>
  <c r="C14" i="6"/>
</calcChain>
</file>

<file path=xl/sharedStrings.xml><?xml version="1.0" encoding="utf-8"?>
<sst xmlns="http://schemas.openxmlformats.org/spreadsheetml/2006/main" count="1606" uniqueCount="467">
  <si>
    <t>Edge</t>
    <phoneticPr fontId="2" type="noConversion"/>
  </si>
  <si>
    <t>Chrome</t>
    <phoneticPr fontId="2" type="noConversion"/>
  </si>
  <si>
    <t>Firefox</t>
    <phoneticPr fontId="2" type="noConversion"/>
  </si>
  <si>
    <t>실행 브라우저</t>
    <phoneticPr fontId="2" type="noConversion"/>
  </si>
  <si>
    <t>후기게시판</t>
    <phoneticPr fontId="2" type="noConversion"/>
  </si>
  <si>
    <t>질문게시판</t>
    <phoneticPr fontId="2" type="noConversion"/>
  </si>
  <si>
    <t>1:1 문의</t>
    <phoneticPr fontId="2" type="noConversion"/>
  </si>
  <si>
    <t>회원정보</t>
    <phoneticPr fontId="2" type="noConversion"/>
  </si>
  <si>
    <t>신청내역확인</t>
    <phoneticPr fontId="2" type="noConversion"/>
  </si>
  <si>
    <t>예약안내</t>
    <phoneticPr fontId="2" type="noConversion"/>
  </si>
  <si>
    <t>버튼</t>
    <phoneticPr fontId="2" type="noConversion"/>
  </si>
  <si>
    <t>메뉴</t>
    <phoneticPr fontId="2" type="noConversion"/>
  </si>
  <si>
    <t>회사소개</t>
    <phoneticPr fontId="2" type="noConversion"/>
  </si>
  <si>
    <t>가격안내</t>
    <phoneticPr fontId="2" type="noConversion"/>
  </si>
  <si>
    <t>페이지 헤더 로그인</t>
    <phoneticPr fontId="2" type="noConversion"/>
  </si>
  <si>
    <t>URL직접입력</t>
    <phoneticPr fontId="2" type="noConversion"/>
  </si>
  <si>
    <t xml:space="preserve">하기 URL을 주소창에 입력
http://laundry365.store:8080/LoginInfo/Login </t>
    <phoneticPr fontId="2" type="noConversion"/>
  </si>
  <si>
    <t>Login_PO_TC1</t>
    <phoneticPr fontId="2" type="noConversion"/>
  </si>
  <si>
    <t>기대결과②</t>
    <phoneticPr fontId="2" type="noConversion"/>
  </si>
  <si>
    <t>기대결과①</t>
    <phoneticPr fontId="2" type="noConversion"/>
  </si>
  <si>
    <t>트리거②</t>
    <phoneticPr fontId="2" type="noConversion"/>
  </si>
  <si>
    <t>관리자 유저</t>
    <phoneticPr fontId="2" type="noConversion"/>
  </si>
  <si>
    <t>일반 유저</t>
    <phoneticPr fontId="2" type="noConversion"/>
  </si>
  <si>
    <t>전재조건②</t>
    <phoneticPr fontId="2" type="noConversion"/>
  </si>
  <si>
    <t>"Sign in"버튼 클릭</t>
    <phoneticPr fontId="2" type="noConversion"/>
  </si>
  <si>
    <t>"Sign up"버튼 클릭</t>
    <phoneticPr fontId="2" type="noConversion"/>
  </si>
  <si>
    <t>"Password?"버튼 클릭</t>
    <phoneticPr fontId="2" type="noConversion"/>
  </si>
  <si>
    <t>로그인에 성공할것</t>
    <phoneticPr fontId="2" type="noConversion"/>
  </si>
  <si>
    <t>홈페이지로 이동</t>
    <phoneticPr fontId="2" type="noConversion"/>
  </si>
  <si>
    <t>회원가입 페이지로이동</t>
    <phoneticPr fontId="2" type="noConversion"/>
  </si>
  <si>
    <t>비밀번호 찾기 페이지로 이동</t>
    <phoneticPr fontId="2" type="noConversion"/>
  </si>
  <si>
    <t>트리거①
(진입방법)</t>
    <phoneticPr fontId="2" type="noConversion"/>
  </si>
  <si>
    <t>Login_PO_TC2</t>
  </si>
  <si>
    <t>Login_PO_TC3</t>
  </si>
  <si>
    <t>Login_PO_TC4</t>
  </si>
  <si>
    <t>Login_PO_TC5</t>
  </si>
  <si>
    <t>Login_PO_TC6</t>
  </si>
  <si>
    <t>Login_PO_TC7</t>
  </si>
  <si>
    <t>Login_PO_TC8</t>
  </si>
  <si>
    <t>Login_PO_TC9</t>
  </si>
  <si>
    <t>Login_PO_TC10</t>
  </si>
  <si>
    <t>Login_PO_TC11</t>
  </si>
  <si>
    <t>Login_PO_TC12</t>
  </si>
  <si>
    <t>Login_PO_TC13</t>
  </si>
  <si>
    <t>Login_PO_TC14</t>
  </si>
  <si>
    <t>Login_PO_TC15</t>
  </si>
  <si>
    <t>Login_PO_TC16</t>
  </si>
  <si>
    <t>Login_PO_TC17</t>
  </si>
  <si>
    <r>
      <t xml:space="preserve">Layout시트와 동일한 </t>
    </r>
    <r>
      <rPr>
        <b/>
        <sz val="11"/>
        <rFont val="맑은 고딕"/>
        <family val="3"/>
        <charset val="129"/>
      </rPr>
      <t>로그인 페이지가 표시</t>
    </r>
    <r>
      <rPr>
        <sz val="11"/>
        <rFont val="맑은 고딕"/>
        <family val="3"/>
        <charset val="129"/>
      </rPr>
      <t>될것</t>
    </r>
    <phoneticPr fontId="2" type="noConversion"/>
  </si>
  <si>
    <r>
      <t>페이지 타이틀이 "</t>
    </r>
    <r>
      <rPr>
        <b/>
        <sz val="11"/>
        <rFont val="맑은 고딕"/>
        <family val="3"/>
        <charset val="129"/>
      </rPr>
      <t>로그인</t>
    </r>
    <r>
      <rPr>
        <sz val="11"/>
        <rFont val="맑은 고딕"/>
        <family val="3"/>
        <charset val="129"/>
      </rPr>
      <t>" 일것</t>
    </r>
    <phoneticPr fontId="2" type="noConversion"/>
  </si>
  <si>
    <r>
      <t xml:space="preserve">페이지 URL이 하기와 같을것
</t>
    </r>
    <r>
      <rPr>
        <b/>
        <sz val="11"/>
        <rFont val="맑은 고딕"/>
        <family val="3"/>
        <charset val="129"/>
      </rPr>
      <t>http://laundry365.store:8080/LoginInfo/Login</t>
    </r>
    <phoneticPr fontId="2" type="noConversion"/>
  </si>
  <si>
    <r>
      <t>페이지 헤더에 "</t>
    </r>
    <r>
      <rPr>
        <b/>
        <sz val="11"/>
        <color rgb="FF000000"/>
        <rFont val="맑은 고딕"/>
        <family val="3"/>
        <charset val="129"/>
      </rPr>
      <t>로그아웃</t>
    </r>
    <r>
      <rPr>
        <sz val="11"/>
        <color rgb="FF000000"/>
        <rFont val="맑은 고딕"/>
        <family val="3"/>
        <charset val="129"/>
      </rPr>
      <t xml:space="preserve">" 메뉴 </t>
    </r>
    <r>
      <rPr>
        <b/>
        <sz val="11"/>
        <color rgb="FF000000"/>
        <rFont val="맑은 고딕"/>
        <family val="3"/>
        <charset val="129"/>
      </rPr>
      <t>표시</t>
    </r>
    <phoneticPr fontId="2" type="noConversion"/>
  </si>
  <si>
    <r>
      <t>페이지 타이틀이 "</t>
    </r>
    <r>
      <rPr>
        <b/>
        <sz val="11"/>
        <rFont val="맑은 고딕"/>
        <family val="3"/>
        <charset val="129"/>
      </rPr>
      <t>Laundry365</t>
    </r>
    <r>
      <rPr>
        <sz val="11"/>
        <rFont val="맑은 고딕"/>
        <family val="3"/>
        <charset val="129"/>
      </rPr>
      <t>" 일 것</t>
    </r>
    <phoneticPr fontId="2" type="noConversion"/>
  </si>
  <si>
    <r>
      <t xml:space="preserve">페이지 URL이 하기와 같을것
</t>
    </r>
    <r>
      <rPr>
        <b/>
        <sz val="11"/>
        <rFont val="맑은 고딕"/>
        <family val="3"/>
        <charset val="129"/>
      </rPr>
      <t>http://laundry365.store:8080/</t>
    </r>
    <phoneticPr fontId="2" type="noConversion"/>
  </si>
  <si>
    <t>페이지 헤더에 "로그인" 메뉴 표시</t>
    <phoneticPr fontId="2" type="noConversion"/>
  </si>
  <si>
    <t>F</t>
  </si>
  <si>
    <t>F</t>
    <phoneticPr fontId="2" type="noConversion"/>
  </si>
  <si>
    <t>일반 UserID,Password 입력</t>
    <phoneticPr fontId="2" type="noConversion"/>
  </si>
  <si>
    <t>관리자 UserID,Password 입력</t>
    <phoneticPr fontId="2" type="noConversion"/>
  </si>
  <si>
    <t>Login_NE_TC1</t>
    <phoneticPr fontId="2" type="noConversion"/>
  </si>
  <si>
    <t>Login_NE_TC2</t>
  </si>
  <si>
    <t>Login_NE_TC3</t>
  </si>
  <si>
    <t>Login_NE_TC4</t>
  </si>
  <si>
    <t>Login_NE_TC5</t>
  </si>
  <si>
    <t>Login_NE_TC6</t>
  </si>
  <si>
    <t>Login_NE_TC7</t>
  </si>
  <si>
    <t>Login_NE_TC8</t>
  </si>
  <si>
    <t>Login_NE_TC11</t>
  </si>
  <si>
    <t>Login_NE_TC12</t>
  </si>
  <si>
    <t>Login_NE_TC13</t>
  </si>
  <si>
    <t>Login_PO_TC18</t>
  </si>
  <si>
    <t>UserID 입력</t>
    <phoneticPr fontId="2" type="noConversion"/>
  </si>
  <si>
    <t>Password 입력</t>
    <phoneticPr fontId="2" type="noConversion"/>
  </si>
  <si>
    <t>등록되지 않은 UserID 입력</t>
    <phoneticPr fontId="2" type="noConversion"/>
  </si>
  <si>
    <t>올바르지 않은 Password 입력</t>
    <phoneticPr fontId="2" type="noConversion"/>
  </si>
  <si>
    <r>
      <t xml:space="preserve">Password 입력      </t>
    </r>
    <r>
      <rPr>
        <sz val="9"/>
        <color rgb="FF000000"/>
        <rFont val="맑은 고딕"/>
        <family val="3"/>
        <charset val="129"/>
      </rPr>
      <t>※미등록유저 : 임의입력</t>
    </r>
    <phoneticPr fontId="2" type="noConversion"/>
  </si>
  <si>
    <r>
      <t xml:space="preserve">로그인에 </t>
    </r>
    <r>
      <rPr>
        <b/>
        <sz val="11"/>
        <color rgb="FFFF0000"/>
        <rFont val="맑은 고딕"/>
        <family val="3"/>
        <charset val="129"/>
      </rPr>
      <t>실패</t>
    </r>
    <r>
      <rPr>
        <sz val="11"/>
        <color rgb="FF000000"/>
        <rFont val="맑은 고딕"/>
        <family val="3"/>
        <charset val="129"/>
      </rPr>
      <t>할것</t>
    </r>
    <phoneticPr fontId="2" type="noConversion"/>
  </si>
  <si>
    <t>Alert메세지</t>
    <phoneticPr fontId="2" type="noConversion"/>
  </si>
  <si>
    <t>트리거③</t>
    <phoneticPr fontId="2" type="noConversion"/>
  </si>
  <si>
    <r>
      <t>Alert메세지 창의 "</t>
    </r>
    <r>
      <rPr>
        <b/>
        <sz val="11"/>
        <color rgb="FF000000"/>
        <rFont val="맑은 고딕"/>
        <family val="3"/>
        <charset val="129"/>
      </rPr>
      <t>확인</t>
    </r>
    <r>
      <rPr>
        <sz val="11"/>
        <color rgb="FF000000"/>
        <rFont val="맑은 고딕"/>
        <family val="3"/>
        <charset val="129"/>
      </rPr>
      <t>"버튼 클릭</t>
    </r>
    <phoneticPr fontId="2" type="noConversion"/>
  </si>
  <si>
    <t>전제조건①</t>
    <phoneticPr fontId="2" type="noConversion"/>
  </si>
  <si>
    <r>
      <t>페이지 타이틀이 "</t>
    </r>
    <r>
      <rPr>
        <b/>
        <sz val="11"/>
        <color rgb="FF000000"/>
        <rFont val="맑은 고딕"/>
        <family val="3"/>
        <charset val="129"/>
      </rPr>
      <t>로그인</t>
    </r>
    <r>
      <rPr>
        <sz val="11"/>
        <color rgb="FF000000"/>
        <rFont val="맑은 고딕"/>
        <family val="3"/>
        <charset val="129"/>
      </rPr>
      <t>" 일것</t>
    </r>
    <phoneticPr fontId="2" type="noConversion"/>
  </si>
  <si>
    <r>
      <t xml:space="preserve">페이지 URL이 하기와 같을것
</t>
    </r>
    <r>
      <rPr>
        <b/>
        <sz val="11"/>
        <rFont val="맑은 고딕"/>
        <family val="3"/>
        <charset val="129"/>
      </rPr>
      <t>http://laundry365.store:8080/LoginInfo/Login?error=true</t>
    </r>
    <phoneticPr fontId="2" type="noConversion"/>
  </si>
  <si>
    <t>페이지URL</t>
    <phoneticPr fontId="2" type="noConversion"/>
  </si>
  <si>
    <t>기대결과③</t>
    <phoneticPr fontId="2" type="noConversion"/>
  </si>
  <si>
    <t>트리거④</t>
    <phoneticPr fontId="2" type="noConversion"/>
  </si>
  <si>
    <t>기대결과④</t>
    <phoneticPr fontId="2" type="noConversion"/>
  </si>
  <si>
    <t>새로고침(F5)을 눌러 페이지 리프레쉬 할것</t>
    <phoneticPr fontId="2" type="noConversion"/>
  </si>
  <si>
    <t>로그인 실패 Alert메세지가 재표시되지 않을 것</t>
    <phoneticPr fontId="2" type="noConversion"/>
  </si>
  <si>
    <r>
      <t>이하와 같이 Alert메세지 표시
- 타이틀 : "</t>
    </r>
    <r>
      <rPr>
        <b/>
        <sz val="11"/>
        <color rgb="FF000000"/>
        <rFont val="맑은 고딕"/>
        <family val="3"/>
        <charset val="129"/>
      </rPr>
      <t>로그인 실패</t>
    </r>
    <r>
      <rPr>
        <sz val="11"/>
        <color rgb="FF000000"/>
        <rFont val="맑은 고딕"/>
        <family val="3"/>
        <charset val="129"/>
      </rPr>
      <t>"
- 메시지 : "</t>
    </r>
    <r>
      <rPr>
        <b/>
        <sz val="11"/>
        <color rgb="FF000000"/>
        <rFont val="맑은 고딕"/>
        <family val="3"/>
        <charset val="129"/>
      </rPr>
      <t>아이디와 비밀번호를 입력해주세요.</t>
    </r>
    <r>
      <rPr>
        <sz val="11"/>
        <color rgb="FF000000"/>
        <rFont val="맑은 고딕"/>
        <family val="3"/>
        <charset val="129"/>
      </rPr>
      <t>"
- 버튼 : "</t>
    </r>
    <r>
      <rPr>
        <b/>
        <sz val="11"/>
        <color rgb="FF000000"/>
        <rFont val="맑은 고딕"/>
        <family val="3"/>
        <charset val="129"/>
      </rPr>
      <t>확인</t>
    </r>
    <r>
      <rPr>
        <sz val="11"/>
        <color rgb="FF000000"/>
        <rFont val="맑은 고딕"/>
        <family val="3"/>
        <charset val="129"/>
      </rPr>
      <t>"</t>
    </r>
    <phoneticPr fontId="2" type="noConversion"/>
  </si>
  <si>
    <t>Login_Eg_TC1</t>
    <phoneticPr fontId="2" type="noConversion"/>
  </si>
  <si>
    <t>Login_Eg_TC2</t>
  </si>
  <si>
    <t>Login_Eg_TC3</t>
  </si>
  <si>
    <t>Login_Eg_TC4</t>
  </si>
  <si>
    <t>Login_Eg_TC5</t>
  </si>
  <si>
    <t>Login_Eg_TC6</t>
  </si>
  <si>
    <t>Login_Eg_TC7</t>
  </si>
  <si>
    <t>Login_Eg_TC8</t>
  </si>
  <si>
    <t>Login_Eg_TC9</t>
  </si>
  <si>
    <t>트리거①</t>
    <phoneticPr fontId="2" type="noConversion"/>
  </si>
  <si>
    <t>로그인페이지</t>
    <phoneticPr fontId="2" type="noConversion"/>
  </si>
  <si>
    <t>현재페이지</t>
    <phoneticPr fontId="2" type="noConversion"/>
  </si>
  <si>
    <t>T</t>
  </si>
  <si>
    <t>TCID</t>
    <phoneticPr fontId="2" type="noConversion"/>
  </si>
  <si>
    <t>No</t>
    <phoneticPr fontId="2" type="noConversion"/>
  </si>
  <si>
    <t>확인내용</t>
    <phoneticPr fontId="2" type="noConversion"/>
  </si>
  <si>
    <t>필드ID</t>
    <phoneticPr fontId="2" type="noConversion"/>
  </si>
  <si>
    <t>텍스트</t>
    <phoneticPr fontId="2" type="noConversion"/>
  </si>
  <si>
    <t>User id를 입력할 수 있는 inputbox 표시되는 것을 확인</t>
    <phoneticPr fontId="2" type="noConversion"/>
  </si>
  <si>
    <t>Password를 입력할 수 있는 inputbox 표시되는 것을 확인</t>
    <phoneticPr fontId="2" type="noConversion"/>
  </si>
  <si>
    <t>종류</t>
    <phoneticPr fontId="2" type="noConversion"/>
  </si>
  <si>
    <t>Text</t>
    <phoneticPr fontId="2" type="noConversion"/>
  </si>
  <si>
    <t>Inputbox</t>
    <phoneticPr fontId="2" type="noConversion"/>
  </si>
  <si>
    <t>Button</t>
    <phoneticPr fontId="2" type="noConversion"/>
  </si>
  <si>
    <t>확인대상</t>
    <phoneticPr fontId="2" type="noConversion"/>
  </si>
  <si>
    <t>동작여부</t>
    <phoneticPr fontId="2" type="noConversion"/>
  </si>
  <si>
    <t>클릭 가능한것을 확인</t>
    <phoneticPr fontId="2" type="noConversion"/>
  </si>
  <si>
    <r>
      <rPr>
        <sz val="11"/>
        <color rgb="FF000000"/>
        <rFont val="맑은 고딕"/>
        <family val="3"/>
        <charset val="129"/>
      </rPr>
      <t>"</t>
    </r>
    <r>
      <rPr>
        <b/>
        <sz val="11"/>
        <color rgb="FF000000"/>
        <rFont val="맑은 고딕"/>
        <family val="3"/>
        <charset val="129"/>
      </rPr>
      <t>Sign</t>
    </r>
    <r>
      <rPr>
        <sz val="11"/>
        <color rgb="FF000000"/>
        <rFont val="맑은 고딕"/>
        <family val="3"/>
        <charset val="129"/>
      </rPr>
      <t xml:space="preserve"> </t>
    </r>
    <r>
      <rPr>
        <b/>
        <sz val="11"/>
        <color rgb="FF000000"/>
        <rFont val="맑은 고딕"/>
        <family val="3"/>
        <charset val="129"/>
      </rPr>
      <t>in</t>
    </r>
    <r>
      <rPr>
        <sz val="11"/>
        <color rgb="FF000000"/>
        <rFont val="맑은 고딕"/>
        <family val="3"/>
        <charset val="129"/>
      </rPr>
      <t>" 표시확인</t>
    </r>
    <phoneticPr fontId="2" type="noConversion"/>
  </si>
  <si>
    <r>
      <rPr>
        <sz val="11"/>
        <color rgb="FF000000"/>
        <rFont val="맑은 고딕"/>
        <family val="3"/>
        <charset val="129"/>
      </rPr>
      <t>"</t>
    </r>
    <r>
      <rPr>
        <b/>
        <sz val="11"/>
        <color rgb="FF000000"/>
        <rFont val="맑은 고딕"/>
        <family val="3"/>
        <charset val="129"/>
      </rPr>
      <t>User Login</t>
    </r>
    <r>
      <rPr>
        <sz val="11"/>
        <color rgb="FF000000"/>
        <rFont val="맑은 고딕"/>
        <family val="3"/>
        <charset val="129"/>
      </rPr>
      <t>" 표시확인</t>
    </r>
    <phoneticPr fontId="2" type="noConversion"/>
  </si>
  <si>
    <t>클릭시 입력 가능여부 확인</t>
    <phoneticPr fontId="2" type="noConversion"/>
  </si>
  <si>
    <t>UI</t>
    <phoneticPr fontId="2" type="noConversion"/>
  </si>
  <si>
    <t>텍스트색 : 화이트</t>
    <phoneticPr fontId="2" type="noConversion"/>
  </si>
  <si>
    <t>버튼색 : 블랙</t>
    <phoneticPr fontId="2" type="noConversion"/>
  </si>
  <si>
    <t>마우스를 버튼에 올리면 버튼색의 투명도 상승</t>
    <phoneticPr fontId="2" type="noConversion"/>
  </si>
  <si>
    <r>
      <rPr>
        <sz val="11"/>
        <color rgb="FF000000"/>
        <rFont val="맑은 고딕"/>
        <family val="3"/>
        <charset val="129"/>
      </rPr>
      <t>"</t>
    </r>
    <r>
      <rPr>
        <b/>
        <sz val="11"/>
        <color rgb="FF000000"/>
        <rFont val="맑은 고딕"/>
        <family val="3"/>
        <charset val="129"/>
      </rPr>
      <t>Sign</t>
    </r>
    <r>
      <rPr>
        <sz val="11"/>
        <color rgb="FF000000"/>
        <rFont val="맑은 고딕"/>
        <family val="3"/>
        <charset val="129"/>
      </rPr>
      <t xml:space="preserve"> </t>
    </r>
    <r>
      <rPr>
        <b/>
        <sz val="11"/>
        <color rgb="FF000000"/>
        <rFont val="맑은 고딕"/>
        <family val="3"/>
        <charset val="129"/>
      </rPr>
      <t>up</t>
    </r>
    <r>
      <rPr>
        <sz val="11"/>
        <color rgb="FF000000"/>
        <rFont val="맑은 고딕"/>
        <family val="3"/>
        <charset val="129"/>
      </rPr>
      <t>" 표시확인</t>
    </r>
    <phoneticPr fontId="2" type="noConversion"/>
  </si>
  <si>
    <t>버튼색 : 화이트</t>
    <phoneticPr fontId="2" type="noConversion"/>
  </si>
  <si>
    <t>텍스트색 : 블랙</t>
    <phoneticPr fontId="2" type="noConversion"/>
  </si>
  <si>
    <t>마우스를 버튼에 올리면 버튼색이 블랙으로 변경</t>
    <phoneticPr fontId="2" type="noConversion"/>
  </si>
  <si>
    <r>
      <rPr>
        <sz val="11"/>
        <color rgb="FF000000"/>
        <rFont val="맑은 고딕"/>
        <family val="3"/>
        <charset val="129"/>
      </rPr>
      <t>"</t>
    </r>
    <r>
      <rPr>
        <b/>
        <sz val="11"/>
        <color rgb="FF000000"/>
        <rFont val="맑은 고딕"/>
        <family val="3"/>
        <charset val="129"/>
      </rPr>
      <t>Password</t>
    </r>
    <r>
      <rPr>
        <sz val="11"/>
        <color rgb="FF000000"/>
        <rFont val="맑은 고딕"/>
        <family val="3"/>
        <charset val="129"/>
      </rPr>
      <t>" 표시확인</t>
    </r>
    <phoneticPr fontId="2" type="noConversion"/>
  </si>
  <si>
    <t>Header</t>
    <phoneticPr fontId="2" type="noConversion"/>
  </si>
  <si>
    <t>Footer</t>
    <phoneticPr fontId="2" type="noConversion"/>
  </si>
  <si>
    <r>
      <t>실행결과 (</t>
    </r>
    <r>
      <rPr>
        <b/>
        <sz val="11"/>
        <color rgb="FF0070C0"/>
        <rFont val="맑은 고딕"/>
        <family val="3"/>
        <charset val="129"/>
      </rPr>
      <t>Pass</t>
    </r>
    <r>
      <rPr>
        <b/>
        <sz val="11"/>
        <color rgb="FF000000"/>
        <rFont val="맑은 고딕"/>
        <family val="3"/>
        <charset val="129"/>
      </rPr>
      <t>/</t>
    </r>
    <r>
      <rPr>
        <b/>
        <sz val="11"/>
        <color rgb="FFFF0000"/>
        <rFont val="맑은 고딕"/>
        <family val="3"/>
        <charset val="129"/>
      </rPr>
      <t>Fail</t>
    </r>
    <r>
      <rPr>
        <b/>
        <sz val="11"/>
        <color rgb="FF000000"/>
        <rFont val="맑은 고딕"/>
        <family val="3"/>
        <charset val="129"/>
      </rPr>
      <t>)</t>
    </r>
    <phoneticPr fontId="2" type="noConversion"/>
  </si>
  <si>
    <t>네비게이션의 텍스트들이 올바르게 표시되어 있는것을 확인</t>
    <phoneticPr fontId="2" type="noConversion"/>
  </si>
  <si>
    <t>푸터의 텍스트들이 올바르게 표시되어 있는것을 확인</t>
    <phoneticPr fontId="2" type="noConversion"/>
  </si>
  <si>
    <t>푸터의 UI깨짐 현상이 없을것</t>
    <phoneticPr fontId="2" type="noConversion"/>
  </si>
  <si>
    <t>네비게이션의 UI깨짐 현상이 없을것</t>
    <phoneticPr fontId="2" type="noConversion"/>
  </si>
  <si>
    <t>Pass</t>
  </si>
  <si>
    <t>Fail</t>
  </si>
  <si>
    <t>실행결과
(Pass/Fail)</t>
    <phoneticPr fontId="2" type="noConversion"/>
  </si>
  <si>
    <t>Pass</t>
    <phoneticPr fontId="2" type="noConversion"/>
  </si>
  <si>
    <t>Total</t>
    <phoneticPr fontId="2" type="noConversion"/>
  </si>
  <si>
    <t>Fail</t>
    <phoneticPr fontId="2" type="noConversion"/>
  </si>
  <si>
    <t>Test Result Summry</t>
    <phoneticPr fontId="2" type="noConversion"/>
  </si>
  <si>
    <t>Bug Report</t>
    <phoneticPr fontId="2" type="noConversion"/>
  </si>
  <si>
    <t>제목</t>
    <phoneticPr fontId="2" type="noConversion"/>
  </si>
  <si>
    <t>결함 심각도</t>
    <phoneticPr fontId="2" type="noConversion"/>
  </si>
  <si>
    <t>테스트환경</t>
    <phoneticPr fontId="2" type="noConversion"/>
  </si>
  <si>
    <t>재현경로</t>
    <phoneticPr fontId="2" type="noConversion"/>
  </si>
  <si>
    <t>기대결과</t>
    <phoneticPr fontId="2" type="noConversion"/>
  </si>
  <si>
    <t>실제결과</t>
    <phoneticPr fontId="2" type="noConversion"/>
  </si>
  <si>
    <t>재현영상 파일명</t>
    <phoneticPr fontId="2" type="noConversion"/>
  </si>
  <si>
    <t>테스트케이스</t>
    <phoneticPr fontId="2" type="noConversion"/>
  </si>
  <si>
    <t>페이지 / 기능</t>
    <phoneticPr fontId="2" type="noConversion"/>
  </si>
  <si>
    <t>로그인 페이지</t>
    <phoneticPr fontId="2" type="noConversion"/>
  </si>
  <si>
    <t>Major</t>
  </si>
  <si>
    <t>1. Chrome브라우저로 홈페이지 진입
2. 페이지헤더(네비게이션바)의 로그인메뉴 클릭
3. 일반유저의 UserID입력
4. 잘못된 Password 입력
5. "Sign in"버튼 클릭</t>
    <phoneticPr fontId="2" type="noConversion"/>
  </si>
  <si>
    <t>로그인에 실패하여 아래와 같은 Alert메세지가 표시될 것
- 타이틀 : "로그인 실패"
- 메시지 : "아이디와 비밀번호를 입력해주세요."
- 버튼 : "확인"</t>
    <phoneticPr fontId="2" type="noConversion"/>
  </si>
  <si>
    <t>로그인에 실패하였으나 Alert메세지가 표시되지 않음</t>
    <phoneticPr fontId="2" type="noConversion"/>
  </si>
  <si>
    <t>Login_NE_TC1.mp4</t>
    <phoneticPr fontId="2" type="noConversion"/>
  </si>
  <si>
    <t>[로그인페이지]로그인 실패시 Alert메세지 비표시</t>
    <phoneticPr fontId="2" type="noConversion"/>
  </si>
  <si>
    <t>#1</t>
    <phoneticPr fontId="2" type="noConversion"/>
  </si>
  <si>
    <t>Bug List No.</t>
    <phoneticPr fontId="2" type="noConversion"/>
  </si>
  <si>
    <t>Login_FieldID1_TC1</t>
  </si>
  <si>
    <t>Login_FieldID2_TC1</t>
  </si>
  <si>
    <t>Login_FieldID2_TC2</t>
  </si>
  <si>
    <t>Login_FieldID3_TC1</t>
  </si>
  <si>
    <t>Login_FieldID3_TC2</t>
  </si>
  <si>
    <t>Login_FieldID4_TC1</t>
  </si>
  <si>
    <t>Login_FieldID4_TC2</t>
  </si>
  <si>
    <t>Login_FieldID4_TC3</t>
  </si>
  <si>
    <t>Login_FieldID4_TC4</t>
  </si>
  <si>
    <t>Login_FieldID4_TC5</t>
  </si>
  <si>
    <t>Login_FieldID5_TC1</t>
  </si>
  <si>
    <t>Login_FieldID5_TC2</t>
  </si>
  <si>
    <t>Login_FieldID5_TC3</t>
  </si>
  <si>
    <t>Login_FieldID5_TC4</t>
  </si>
  <si>
    <t>Login_FieldID5_TC5</t>
  </si>
  <si>
    <t>Login_FieldID6_TC1</t>
  </si>
  <si>
    <t>Login_FieldID6_TC2</t>
  </si>
  <si>
    <t>Login_FieldID6_TC3</t>
  </si>
  <si>
    <t>Login_FieldID6_TC4</t>
  </si>
  <si>
    <t>Login_FieldID6_TC5</t>
  </si>
  <si>
    <t>Login_FieldID7_TC1</t>
  </si>
  <si>
    <t>Login_FieldID7_TC2</t>
  </si>
  <si>
    <t>Login_FieldID8_TC1</t>
  </si>
  <si>
    <t>Login_FieldID8_TC2</t>
  </si>
  <si>
    <t>Login_NE_TC9</t>
  </si>
  <si>
    <t>Login_NE_TC10</t>
  </si>
  <si>
    <t>입력유효성</t>
    <phoneticPr fontId="2" type="noConversion"/>
  </si>
  <si>
    <t>최대값(영문+숫자 15자) 입력 가능여부 확인</t>
    <phoneticPr fontId="2" type="noConversion"/>
  </si>
  <si>
    <t>특수문자 입력불가 여부 확인</t>
    <phoneticPr fontId="2" type="noConversion"/>
  </si>
  <si>
    <t>Style Guide</t>
    <phoneticPr fontId="2" type="noConversion"/>
  </si>
  <si>
    <t>입력값</t>
    <phoneticPr fontId="2" type="noConversion"/>
  </si>
  <si>
    <t>TestUser0123456</t>
    <phoneticPr fontId="2" type="noConversion"/>
  </si>
  <si>
    <t>기대값</t>
    <phoneticPr fontId="2" type="noConversion"/>
  </si>
  <si>
    <t>TestUser012345</t>
    <phoneticPr fontId="2" type="noConversion"/>
  </si>
  <si>
    <t>임의특수문자(!,*,@,★ 등)</t>
    <phoneticPr fontId="2" type="noConversion"/>
  </si>
  <si>
    <t>입력되지 않음</t>
    <phoneticPr fontId="2" type="noConversion"/>
  </si>
  <si>
    <t>TestUser01234!@#abcd1</t>
    <phoneticPr fontId="2" type="noConversion"/>
  </si>
  <si>
    <t>TestUser01234!@#abcd</t>
    <phoneticPr fontId="2" type="noConversion"/>
  </si>
  <si>
    <t>마스킹</t>
    <phoneticPr fontId="2" type="noConversion"/>
  </si>
  <si>
    <t>abc1234</t>
    <phoneticPr fontId="2" type="noConversion"/>
  </si>
  <si>
    <t>●●●●●●●</t>
    <phoneticPr fontId="2" type="noConversion"/>
  </si>
  <si>
    <r>
      <t xml:space="preserve">최대값(20자) 입력 가능여부 확인
</t>
    </r>
    <r>
      <rPr>
        <sz val="8"/>
        <color rgb="FF000000"/>
        <rFont val="맑은 고딕"/>
        <family val="3"/>
        <charset val="129"/>
      </rPr>
      <t xml:space="preserve">※로그인 버튼클릭후, LoginPost의 페이로드의 pwd가 </t>
    </r>
    <r>
      <rPr>
        <b/>
        <sz val="8"/>
        <color rgb="FF000000"/>
        <rFont val="맑은 고딕"/>
        <family val="3"/>
        <charset val="129"/>
      </rPr>
      <t>기대값</t>
    </r>
    <r>
      <rPr>
        <sz val="8"/>
        <color rgb="FF000000"/>
        <rFont val="맑은 고딕"/>
        <family val="3"/>
        <charset val="129"/>
      </rPr>
      <t>이 되어있는것을 확인</t>
    </r>
    <phoneticPr fontId="2" type="noConversion"/>
  </si>
  <si>
    <r>
      <t xml:space="preserve">입력한 비밀번호가 로그인 페이지에서 마스킹처리 되는것을 확인
</t>
    </r>
    <r>
      <rPr>
        <sz val="8"/>
        <color rgb="FF000000"/>
        <rFont val="맑은 고딕"/>
        <family val="3"/>
        <charset val="129"/>
      </rPr>
      <t xml:space="preserve">※로그인 버튼클릭후, LoginPost의 페이로드의 pwd가 </t>
    </r>
    <r>
      <rPr>
        <b/>
        <sz val="8"/>
        <color rgb="FF000000"/>
        <rFont val="맑은 고딕"/>
        <family val="3"/>
        <charset val="129"/>
      </rPr>
      <t>입력값</t>
    </r>
    <r>
      <rPr>
        <sz val="8"/>
        <color rgb="FF000000"/>
        <rFont val="맑은 고딕"/>
        <family val="3"/>
        <charset val="129"/>
      </rPr>
      <t>과 동일한 것을 확인</t>
    </r>
    <phoneticPr fontId="2" type="noConversion"/>
  </si>
  <si>
    <t>User Login</t>
    <phoneticPr fontId="2" type="noConversion"/>
  </si>
  <si>
    <t>Sign in</t>
    <phoneticPr fontId="2" type="noConversion"/>
  </si>
  <si>
    <t>Sign up</t>
    <phoneticPr fontId="2" type="noConversion"/>
  </si>
  <si>
    <t>Password</t>
    <phoneticPr fontId="2" type="noConversion"/>
  </si>
  <si>
    <t>올바른 User ID,PW 입력후, 네트워크 연결해제</t>
    <phoneticPr fontId="2" type="noConversion"/>
  </si>
  <si>
    <t>로그인 버튼 클릭</t>
    <phoneticPr fontId="2" type="noConversion"/>
  </si>
  <si>
    <r>
      <rPr>
        <b/>
        <sz val="11"/>
        <color rgb="FFFF0000"/>
        <rFont val="맑은 고딕"/>
        <family val="3"/>
        <charset val="129"/>
      </rPr>
      <t>잘못된</t>
    </r>
    <r>
      <rPr>
        <sz val="11"/>
        <color rgb="FF000000"/>
        <rFont val="맑은 고딕"/>
        <family val="3"/>
        <charset val="129"/>
      </rPr>
      <t xml:space="preserve"> User ID,PW 입력후, 네트워크 연결해제</t>
    </r>
    <phoneticPr fontId="2" type="noConversion"/>
  </si>
  <si>
    <r>
      <t xml:space="preserve">User ID,PW </t>
    </r>
    <r>
      <rPr>
        <b/>
        <sz val="11"/>
        <color rgb="FF000000"/>
        <rFont val="맑은 고딕"/>
        <family val="3"/>
        <charset val="129"/>
      </rPr>
      <t>미입력</t>
    </r>
    <r>
      <rPr>
        <sz val="11"/>
        <color rgb="FF000000"/>
        <rFont val="맑은 고딕"/>
        <family val="3"/>
        <charset val="129"/>
      </rPr>
      <t xml:space="preserve"> 상태, 네트워크 연결해제</t>
    </r>
    <phoneticPr fontId="2" type="noConversion"/>
  </si>
  <si>
    <t>추가동작</t>
    <phoneticPr fontId="2" type="noConversion"/>
  </si>
  <si>
    <r>
      <rPr>
        <sz val="10"/>
        <color rgb="FF000000"/>
        <rFont val="맑은 고딕"/>
        <family val="3"/>
        <charset val="129"/>
      </rPr>
      <t>해당 필드 클릭후, CapsLock을 켜서 필드하부에 메시지가 표시되는것을 확인</t>
    </r>
    <r>
      <rPr>
        <sz val="11"/>
        <color rgb="FF000000"/>
        <rFont val="맑은 고딕"/>
        <family val="3"/>
        <charset val="129"/>
      </rPr>
      <t xml:space="preserve">
</t>
    </r>
    <r>
      <rPr>
        <sz val="9"/>
        <color rgb="FF000000"/>
        <rFont val="맑은 고딕"/>
        <family val="3"/>
        <charset val="129"/>
      </rPr>
      <t>※CapsLock을 끄면 해당메세지가 삭제되는것을 확인</t>
    </r>
    <phoneticPr fontId="2" type="noConversion"/>
  </si>
  <si>
    <t>CapsLock On/Off</t>
    <phoneticPr fontId="2" type="noConversion"/>
  </si>
  <si>
    <t>"Caps Lock이 켜져 있습니다."</t>
    <phoneticPr fontId="2" type="noConversion"/>
  </si>
  <si>
    <t>Login_FieldID2_TC3</t>
  </si>
  <si>
    <t>Login_FieldID2_TC4</t>
  </si>
  <si>
    <t>Login_FieldID3_TC3</t>
  </si>
  <si>
    <t>Login_FieldID3_TC4</t>
  </si>
  <si>
    <t>Login_FieldID3_TC5</t>
  </si>
  <si>
    <t>네트워크 연결후, 새로고침(F5) 할 것</t>
    <phoneticPr fontId="2" type="noConversion"/>
  </si>
  <si>
    <r>
      <t xml:space="preserve">로그인에 </t>
    </r>
    <r>
      <rPr>
        <b/>
        <sz val="11"/>
        <color rgb="FF0070C0"/>
        <rFont val="맑은 고딕"/>
        <family val="3"/>
        <charset val="129"/>
      </rPr>
      <t>성공</t>
    </r>
    <r>
      <rPr>
        <sz val="11"/>
        <rFont val="맑은 고딕"/>
        <family val="3"/>
        <charset val="129"/>
      </rPr>
      <t>하여, 홈페이지로 이동할 것</t>
    </r>
    <phoneticPr fontId="2" type="noConversion"/>
  </si>
  <si>
    <r>
      <t>이하와 같이 Alert메세지 표시
- 타이틀 : "로그인 실패"
- 메시지 :</t>
    </r>
    <r>
      <rPr>
        <b/>
        <sz val="11"/>
        <color rgb="FF000000"/>
        <rFont val="맑은 고딕"/>
        <family val="3"/>
        <charset val="129"/>
      </rPr>
      <t xml:space="preserve"> "아이디와 비밀번호를 입력해주세요."</t>
    </r>
    <r>
      <rPr>
        <sz val="11"/>
        <color rgb="FF000000"/>
        <rFont val="맑은 고딕"/>
        <family val="3"/>
        <charset val="129"/>
      </rPr>
      <t xml:space="preserve">
- 버튼 : "확인"</t>
    </r>
    <phoneticPr fontId="2" type="noConversion"/>
  </si>
  <si>
    <r>
      <t xml:space="preserve">로그인에 </t>
    </r>
    <r>
      <rPr>
        <b/>
        <sz val="11"/>
        <color rgb="FFFF0000"/>
        <rFont val="맑은 고딕"/>
        <family val="3"/>
        <charset val="129"/>
      </rPr>
      <t>실패</t>
    </r>
    <r>
      <rPr>
        <sz val="11"/>
        <color rgb="FF000000"/>
        <rFont val="맑은 고딕"/>
        <family val="3"/>
        <charset val="129"/>
      </rPr>
      <t xml:space="preserve">하여, 이하와 같이 Alert메세지 표시
- 타이틀 : "로그인 실패"
- 메시지 : </t>
    </r>
    <r>
      <rPr>
        <b/>
        <sz val="11"/>
        <color rgb="FF000000"/>
        <rFont val="맑은 고딕"/>
        <family val="3"/>
        <charset val="129"/>
      </rPr>
      <t>"아이디 또는 비밀번호가 올바르지 않습니다."</t>
    </r>
    <r>
      <rPr>
        <sz val="11"/>
        <color rgb="FF000000"/>
        <rFont val="맑은 고딕"/>
        <family val="3"/>
        <charset val="129"/>
      </rPr>
      <t xml:space="preserve">
- 버튼 : "확인"</t>
    </r>
    <phoneticPr fontId="2" type="noConversion"/>
  </si>
  <si>
    <t>T</t>
    <phoneticPr fontId="2" type="noConversion"/>
  </si>
  <si>
    <r>
      <t xml:space="preserve">하기 URL로 이동될 것
</t>
    </r>
    <r>
      <rPr>
        <b/>
        <sz val="11"/>
        <color rgb="FF000000"/>
        <rFont val="맑은 고딕"/>
        <family val="3"/>
        <charset val="129"/>
      </rPr>
      <t>http://laundry365.store:8080/LoginInfo/LoginPost</t>
    </r>
    <phoneticPr fontId="2" type="noConversion"/>
  </si>
  <si>
    <r>
      <t>로그인 실패 Alert메세지가</t>
    </r>
    <r>
      <rPr>
        <b/>
        <sz val="11"/>
        <color rgb="FF000000"/>
        <rFont val="맑은 고딕"/>
        <family val="3"/>
        <charset val="129"/>
      </rPr>
      <t xml:space="preserve"> </t>
    </r>
    <r>
      <rPr>
        <b/>
        <sz val="11"/>
        <color rgb="FFFF0000"/>
        <rFont val="맑은 고딕"/>
        <family val="3"/>
        <charset val="129"/>
      </rPr>
      <t>재표시되지 않을 것</t>
    </r>
    <phoneticPr fontId="2" type="noConversion"/>
  </si>
  <si>
    <t>TestCase List</t>
    <phoneticPr fontId="2" type="noConversion"/>
  </si>
  <si>
    <t>Case Sheet</t>
    <phoneticPr fontId="2" type="noConversion"/>
  </si>
  <si>
    <t>Result</t>
    <phoneticPr fontId="2" type="noConversion"/>
  </si>
  <si>
    <t>FieldRule Case</t>
  </si>
  <si>
    <t>FieldRule Case</t>
    <phoneticPr fontId="2" type="noConversion"/>
  </si>
  <si>
    <t>행 레이블</t>
  </si>
  <si>
    <t>총합계</t>
  </si>
  <si>
    <t>개수 : Result</t>
  </si>
  <si>
    <t>Test Detail Resilt</t>
    <phoneticPr fontId="2" type="noConversion"/>
  </si>
  <si>
    <t>로그인 페이지 FieldRule Case</t>
    <phoneticPr fontId="2" type="noConversion"/>
  </si>
  <si>
    <t>Step</t>
    <phoneticPr fontId="2" type="noConversion"/>
  </si>
  <si>
    <t>Action</t>
    <phoneticPr fontId="2" type="noConversion"/>
  </si>
  <si>
    <t>E2E Case</t>
    <phoneticPr fontId="2" type="noConversion"/>
  </si>
  <si>
    <t>시나리오ID</t>
    <phoneticPr fontId="2" type="noConversion"/>
  </si>
  <si>
    <t>E2E_Order_Critical_01</t>
    <phoneticPr fontId="2" type="noConversion"/>
  </si>
  <si>
    <t>시나리오 요약</t>
    <phoneticPr fontId="2" type="noConversion"/>
  </si>
  <si>
    <t>사전 조건</t>
    <phoneticPr fontId="2" type="noConversion"/>
  </si>
  <si>
    <t>테스트 목적</t>
    <phoneticPr fontId="2" type="noConversion"/>
  </si>
  <si>
    <t>기대결과1</t>
    <phoneticPr fontId="2" type="noConversion"/>
  </si>
  <si>
    <t>기대결과2</t>
    <phoneticPr fontId="2" type="noConversion"/>
  </si>
  <si>
    <t>1. 테스트용 신규 계정(test_user_01) 작성 및 활성화 상태
2. 결제는 테스트 환경에서의 결제진행</t>
    <phoneticPr fontId="2" type="noConversion"/>
  </si>
  <si>
    <r>
      <t xml:space="preserve">로그인페이지에서 </t>
    </r>
    <r>
      <rPr>
        <b/>
        <sz val="11"/>
        <color rgb="FF000000"/>
        <rFont val="맑은 고딕"/>
        <family val="3"/>
        <charset val="129"/>
      </rPr>
      <t>test_user_01</t>
    </r>
    <r>
      <rPr>
        <sz val="11"/>
        <color rgb="FF000000"/>
        <rFont val="맑은 고딕"/>
        <family val="3"/>
        <charset val="129"/>
      </rPr>
      <t>로 로그인</t>
    </r>
    <phoneticPr fontId="2" type="noConversion"/>
  </si>
  <si>
    <r>
      <t xml:space="preserve">홈페이지에서 네비게이션 바의 </t>
    </r>
    <r>
      <rPr>
        <b/>
        <sz val="11"/>
        <color rgb="FF000000"/>
        <rFont val="맑은 고딕"/>
        <family val="3"/>
        <charset val="129"/>
      </rPr>
      <t xml:space="preserve">예약안내 버튼 </t>
    </r>
    <r>
      <rPr>
        <sz val="11"/>
        <color rgb="FF000000"/>
        <rFont val="맑은 고딕"/>
        <family val="3"/>
        <charset val="129"/>
      </rPr>
      <t>클릭</t>
    </r>
    <phoneticPr fontId="2" type="noConversion"/>
  </si>
  <si>
    <t>예약안내 페이지로 이동</t>
    <phoneticPr fontId="2" type="noConversion"/>
  </si>
  <si>
    <t>4개의 카테고리 표시 및 선택가능할 것</t>
    <phoneticPr fontId="2" type="noConversion"/>
  </si>
  <si>
    <t>상품선택 페이지로 이동</t>
    <phoneticPr fontId="2" type="noConversion"/>
  </si>
  <si>
    <t>상품명이 "생활빨래" 로 표시</t>
    <phoneticPr fontId="2" type="noConversion"/>
  </si>
  <si>
    <t>기대결과3</t>
    <phoneticPr fontId="2" type="noConversion"/>
  </si>
  <si>
    <r>
      <t xml:space="preserve">이동한 홈페이지의 </t>
    </r>
    <r>
      <rPr>
        <b/>
        <sz val="11"/>
        <color rgb="FF000000"/>
        <rFont val="맑은 고딕"/>
        <family val="3"/>
        <charset val="129"/>
      </rPr>
      <t>URL</t>
    </r>
    <r>
      <rPr>
        <sz val="11"/>
        <color rgb="FF000000"/>
        <rFont val="맑은 고딕"/>
        <family val="3"/>
        <charset val="129"/>
      </rPr>
      <t>이 하기와 동일할 것
http://laundry365.store:8080/</t>
    </r>
    <phoneticPr fontId="2" type="noConversion"/>
  </si>
  <si>
    <r>
      <t xml:space="preserve">이동한 홈페이지의 </t>
    </r>
    <r>
      <rPr>
        <b/>
        <sz val="11"/>
        <color rgb="FF000000"/>
        <rFont val="맑은 고딕"/>
        <family val="3"/>
        <charset val="129"/>
      </rPr>
      <t>URL</t>
    </r>
    <r>
      <rPr>
        <sz val="11"/>
        <color rgb="FF000000"/>
        <rFont val="맑은 고딕"/>
        <family val="3"/>
        <charset val="129"/>
      </rPr>
      <t>이 하기와 동일할 것
http://laundry365.store:8080/Reserve/Select?category=</t>
    </r>
    <r>
      <rPr>
        <b/>
        <sz val="11"/>
        <color rgb="FF000000"/>
        <rFont val="맑은 고딕"/>
        <family val="3"/>
        <charset val="129"/>
      </rPr>
      <t>clothes</t>
    </r>
    <phoneticPr fontId="2" type="noConversion"/>
  </si>
  <si>
    <t>비고</t>
    <phoneticPr fontId="2" type="noConversion"/>
  </si>
  <si>
    <t>각각의 상품 가격이 올바르게 표시</t>
    <phoneticPr fontId="2" type="noConversion"/>
  </si>
  <si>
    <t>총 상품 금액이 올바르게 표시</t>
    <phoneticPr fontId="2" type="noConversion"/>
  </si>
  <si>
    <r>
      <t xml:space="preserve">옵션에서 임의의 </t>
    </r>
    <r>
      <rPr>
        <b/>
        <sz val="11"/>
        <color rgb="FF000000"/>
        <rFont val="맑은 고딕"/>
        <family val="3"/>
        <charset val="129"/>
      </rPr>
      <t>복수 상품선택</t>
    </r>
    <r>
      <rPr>
        <sz val="11"/>
        <color rgb="FF000000"/>
        <rFont val="맑은 고딕"/>
        <family val="3"/>
        <charset val="129"/>
      </rPr>
      <t xml:space="preserve"> 후 수량 변경</t>
    </r>
    <phoneticPr fontId="2" type="noConversion"/>
  </si>
  <si>
    <r>
      <rPr>
        <b/>
        <sz val="11"/>
        <color rgb="FF000000"/>
        <rFont val="맑은 고딕"/>
        <family val="3"/>
        <charset val="129"/>
      </rPr>
      <t>생활빨래</t>
    </r>
    <r>
      <rPr>
        <sz val="11"/>
        <color rgb="FF000000"/>
        <rFont val="맑은 고딕"/>
        <family val="3"/>
        <charset val="129"/>
      </rPr>
      <t xml:space="preserve"> 카테고리선택</t>
    </r>
    <phoneticPr fontId="2" type="noConversion"/>
  </si>
  <si>
    <t>상품가격 : PriceGuideData.xlsx 참조</t>
    <phoneticPr fontId="2" type="noConversion"/>
  </si>
  <si>
    <t>결제 페이지로 이동</t>
    <phoneticPr fontId="2" type="noConversion"/>
  </si>
  <si>
    <t>예약하기 버튼 활성화</t>
    <phoneticPr fontId="2" type="noConversion"/>
  </si>
  <si>
    <r>
      <t xml:space="preserve">예약날짜 설정 후 </t>
    </r>
    <r>
      <rPr>
        <b/>
        <sz val="11"/>
        <color rgb="FF000000"/>
        <rFont val="맑은 고딕"/>
        <family val="3"/>
        <charset val="129"/>
      </rPr>
      <t>예약하기 버튼</t>
    </r>
    <r>
      <rPr>
        <sz val="11"/>
        <color rgb="FF000000"/>
        <rFont val="맑은 고딕"/>
        <family val="3"/>
        <charset val="129"/>
      </rPr>
      <t xml:space="preserve"> 클릭 </t>
    </r>
    <r>
      <rPr>
        <sz val="8"/>
        <color rgb="FF000000"/>
        <rFont val="맑은 고딕"/>
        <family val="3"/>
        <charset val="129"/>
      </rPr>
      <t>※개발자도구 네트워크탭 활성화</t>
    </r>
    <phoneticPr fontId="2" type="noConversion"/>
  </si>
  <si>
    <t>상품, 수량, 총 주문가격, 수거날짜가 선택/입력한 내용과 일치 할 것</t>
    <phoneticPr fontId="2" type="noConversion"/>
  </si>
  <si>
    <t>URL 파라미터 중 price 값을 임의의 낮은 금액으로 변경 후 엔터키로 이동
(예시 : 가격%2F4000%2F5000 → 가격%2F40%2F50)</t>
    <phoneticPr fontId="2" type="noConversion"/>
  </si>
  <si>
    <t>Alert메세지의 확인버튼 클릭</t>
    <phoneticPr fontId="2" type="noConversion"/>
  </si>
  <si>
    <r>
      <t xml:space="preserve">상품, 수량, 총 주문가격, 수거날짜가 선택/입력한 내용과 일치 할 것
</t>
    </r>
    <r>
      <rPr>
        <sz val="9"/>
        <color rgb="FF000000"/>
        <rFont val="맑은 고딕"/>
        <family val="3"/>
        <charset val="129"/>
      </rPr>
      <t>※Step5의 기대결과와 동일</t>
    </r>
    <phoneticPr fontId="2" type="noConversion"/>
  </si>
  <si>
    <r>
      <t xml:space="preserve">결제 페이지로 이동
</t>
    </r>
    <r>
      <rPr>
        <sz val="9"/>
        <color rgb="FF000000"/>
        <rFont val="맑은 고딕"/>
        <family val="3"/>
        <charset val="129"/>
      </rPr>
      <t>※Step5의 기대결과와 동일</t>
    </r>
    <phoneticPr fontId="2" type="noConversion"/>
  </si>
  <si>
    <r>
      <rPr>
        <b/>
        <sz val="11"/>
        <color rgb="FF000000"/>
        <rFont val="맑은 고딕"/>
        <family val="3"/>
        <charset val="129"/>
      </rPr>
      <t xml:space="preserve">[API] </t>
    </r>
    <r>
      <rPr>
        <sz val="11"/>
        <color rgb="FF000000"/>
        <rFont val="맑은 고딕"/>
        <family val="3"/>
        <charset val="129"/>
      </rPr>
      <t xml:space="preserve">GET /Reserve/Payment 호출 시, 페이로드의 name, price, count, date, category가 선택 값대로 정확히 전달 된 것을 확인
</t>
    </r>
    <r>
      <rPr>
        <sz val="9"/>
        <color rgb="FF000000"/>
        <rFont val="맑은 고딕"/>
        <family val="3"/>
        <charset val="129"/>
      </rPr>
      <t>※Step5의 기대결과와 동일</t>
    </r>
    <phoneticPr fontId="2" type="noConversion"/>
  </si>
  <si>
    <r>
      <rPr>
        <b/>
        <sz val="11"/>
        <color rgb="FF000000"/>
        <rFont val="맑은 고딕"/>
        <family val="3"/>
        <charset val="129"/>
      </rPr>
      <t xml:space="preserve">[API] </t>
    </r>
    <r>
      <rPr>
        <sz val="11"/>
        <color rgb="FF000000"/>
        <rFont val="맑은 고딕"/>
        <family val="3"/>
        <charset val="129"/>
      </rPr>
      <t>GET /Reserve/Payment 호출 시, 페이로드의 name, price, count, date, category가 선택 값대로 정확히 전달 된 것을 확인</t>
    </r>
    <phoneticPr fontId="2" type="noConversion"/>
  </si>
  <si>
    <t>※해당 케이스는 파라미터 변조를 통한 결제 금액 위변조 가능성을 확인하기 위함</t>
    <phoneticPr fontId="2" type="noConversion"/>
  </si>
  <si>
    <t>요청사항, 결제 정보 이메일 입력후 카드결제 버튼클릭</t>
    <phoneticPr fontId="2" type="noConversion"/>
  </si>
  <si>
    <t>KG이니시스 결제화면 표시</t>
    <phoneticPr fontId="2" type="noConversion"/>
  </si>
  <si>
    <t>상품명, 상품가격, 결재금액이 올바른 값일 것</t>
    <phoneticPr fontId="2" type="noConversion"/>
  </si>
  <si>
    <t>테스트카드로 결제완료</t>
    <phoneticPr fontId="2" type="noConversion"/>
  </si>
  <si>
    <t>신청내역확인 페이지로 이동</t>
    <phoneticPr fontId="2" type="noConversion"/>
  </si>
  <si>
    <t>결제완료한 주문이 표시되는 것을 확인</t>
    <phoneticPr fontId="2" type="noConversion"/>
  </si>
  <si>
    <t>해당 주문에 대한 상세보기 버튼클릭</t>
    <phoneticPr fontId="2" type="noConversion"/>
  </si>
  <si>
    <t>※주문번호를 확인/메모</t>
    <phoneticPr fontId="2" type="noConversion"/>
  </si>
  <si>
    <r>
      <t>이동한 홈페이지의</t>
    </r>
    <r>
      <rPr>
        <b/>
        <sz val="11"/>
        <color rgb="FF000000"/>
        <rFont val="맑은 고딕"/>
        <family val="3"/>
        <charset val="129"/>
      </rPr>
      <t xml:space="preserve"> URL이 하기를 포함</t>
    </r>
    <r>
      <rPr>
        <sz val="11"/>
        <color rgb="FF000000"/>
        <rFont val="맑은 고딕"/>
        <family val="3"/>
        <charset val="129"/>
      </rPr>
      <t>할 것
http://laundry365.store:8080/LoginInfo/Mypage/OrderList?pageNum=1</t>
    </r>
    <phoneticPr fontId="2" type="noConversion"/>
  </si>
  <si>
    <t>주문상세 페이지로 이동</t>
    <phoneticPr fontId="2" type="noConversion"/>
  </si>
  <si>
    <t>주문정보 및 주문내용이 올바른 값일 것</t>
    <phoneticPr fontId="2" type="noConversion"/>
  </si>
  <si>
    <t>주문관리 페이지로 이동</t>
    <phoneticPr fontId="2" type="noConversion"/>
  </si>
  <si>
    <r>
      <t xml:space="preserve">이동한 홈페이지의 </t>
    </r>
    <r>
      <rPr>
        <b/>
        <sz val="11"/>
        <color rgb="FF000000"/>
        <rFont val="맑은 고딕"/>
        <family val="3"/>
        <charset val="129"/>
      </rPr>
      <t>URL</t>
    </r>
    <r>
      <rPr>
        <sz val="11"/>
        <color rgb="FF000000"/>
        <rFont val="맑은 고딕"/>
        <family val="3"/>
        <charset val="129"/>
      </rPr>
      <t>이 하기와 동일할 것
http://laundry365.store:8080/LoginInfo/Mypage/OrderList</t>
    </r>
    <phoneticPr fontId="2" type="noConversion"/>
  </si>
  <si>
    <t>신규회원의 복수상품 예약 및 결제와 금액변조 차단확인,  관리자의 상태 변경 통합 검증</t>
    <phoneticPr fontId="2" type="noConversion"/>
  </si>
  <si>
    <t>[관리자] test_adminuser_01로 로그인하여 주문관리 버튼클릭</t>
    <phoneticPr fontId="2" type="noConversion"/>
  </si>
  <si>
    <t>※로그아웃</t>
    <phoneticPr fontId="2" type="noConversion"/>
  </si>
  <si>
    <t>[사용자] 신청내역확인 페이지 이동</t>
    <phoneticPr fontId="2" type="noConversion"/>
  </si>
  <si>
    <t>[사용자] 해당 주문의 주문상세 페이지 이동</t>
    <phoneticPr fontId="2" type="noConversion"/>
  </si>
  <si>
    <t>※송장번호를 확인/메모 및 로그아웃</t>
    <phoneticPr fontId="2" type="noConversion"/>
  </si>
  <si>
    <r>
      <rPr>
        <b/>
        <sz val="11"/>
        <color rgb="FF000000"/>
        <rFont val="맑은 고딕"/>
        <family val="3"/>
        <charset val="129"/>
      </rPr>
      <t>Alert메세지 표시</t>
    </r>
    <r>
      <rPr>
        <sz val="11"/>
        <color rgb="FF000000"/>
        <rFont val="맑은 고딕"/>
        <family val="3"/>
        <charset val="129"/>
      </rPr>
      <t xml:space="preserve">
- 타이틀 : Error
- 메시지 : </t>
    </r>
    <r>
      <rPr>
        <b/>
        <sz val="11"/>
        <color rgb="FF000000"/>
        <rFont val="맑은 고딕"/>
        <family val="3"/>
        <charset val="129"/>
      </rPr>
      <t>"잘못된 접근입니다."</t>
    </r>
    <r>
      <rPr>
        <sz val="11"/>
        <color rgb="FF000000"/>
        <rFont val="맑은 고딕"/>
        <family val="3"/>
        <charset val="129"/>
      </rPr>
      <t xml:space="preserve">
- 버튼 : "확인"</t>
    </r>
    <phoneticPr fontId="2" type="noConversion"/>
  </si>
  <si>
    <r>
      <rPr>
        <b/>
        <sz val="11"/>
        <color rgb="FF000000"/>
        <rFont val="맑은 고딕"/>
        <family val="3"/>
        <charset val="129"/>
      </rPr>
      <t>Alert메세지 표시</t>
    </r>
    <r>
      <rPr>
        <sz val="11"/>
        <color rgb="FF000000"/>
        <rFont val="맑은 고딕"/>
        <family val="3"/>
        <charset val="129"/>
      </rPr>
      <t xml:space="preserve">
- 타이틀 : 결제완료
- 메시지 : "</t>
    </r>
    <r>
      <rPr>
        <b/>
        <sz val="11"/>
        <color rgb="FF000000"/>
        <rFont val="맑은 고딕"/>
        <family val="3"/>
        <charset val="129"/>
      </rPr>
      <t>결제가 완료되었습니다.</t>
    </r>
    <r>
      <rPr>
        <sz val="11"/>
        <color rgb="FF000000"/>
        <rFont val="맑은 고딕"/>
        <family val="3"/>
        <charset val="129"/>
      </rPr>
      <t>"
- 버튼 : "확인"</t>
    </r>
    <phoneticPr fontId="2" type="noConversion"/>
  </si>
  <si>
    <r>
      <t xml:space="preserve">주문관리 페이지에서 해당 주문의 </t>
    </r>
    <r>
      <rPr>
        <b/>
        <sz val="11"/>
        <color rgb="FF000000"/>
        <rFont val="맑은 고딕"/>
        <family val="3"/>
        <charset val="129"/>
      </rPr>
      <t>수거/반환용 송장번호 표시</t>
    </r>
    <phoneticPr fontId="2" type="noConversion"/>
  </si>
  <si>
    <r>
      <t>처리상태가 "</t>
    </r>
    <r>
      <rPr>
        <b/>
        <sz val="11"/>
        <color rgb="FF000000"/>
        <rFont val="맑은 고딕"/>
        <family val="3"/>
        <charset val="129"/>
      </rPr>
      <t>반환완료</t>
    </r>
    <r>
      <rPr>
        <sz val="11"/>
        <color rgb="FF000000"/>
        <rFont val="맑은 고딕"/>
        <family val="3"/>
        <charset val="129"/>
      </rPr>
      <t>" 로 표시</t>
    </r>
    <phoneticPr fontId="2" type="noConversion"/>
  </si>
  <si>
    <r>
      <t>주문상태가 "</t>
    </r>
    <r>
      <rPr>
        <b/>
        <sz val="11"/>
        <color rgb="FF000000"/>
        <rFont val="맑은 고딕"/>
        <family val="3"/>
        <charset val="129"/>
      </rPr>
      <t>반환완료</t>
    </r>
    <r>
      <rPr>
        <sz val="11"/>
        <color rgb="FF000000"/>
        <rFont val="맑은 고딕"/>
        <family val="3"/>
        <charset val="129"/>
      </rPr>
      <t>" 로 표시</t>
    </r>
    <phoneticPr fontId="2" type="noConversion"/>
  </si>
  <si>
    <r>
      <t>후기작성이 "</t>
    </r>
    <r>
      <rPr>
        <b/>
        <sz val="11"/>
        <color rgb="FF000000"/>
        <rFont val="맑은 고딕"/>
        <family val="3"/>
        <charset val="129"/>
      </rPr>
      <t>작성하기</t>
    </r>
    <r>
      <rPr>
        <sz val="11"/>
        <color rgb="FF000000"/>
        <rFont val="맑은 고딕"/>
        <family val="3"/>
        <charset val="129"/>
      </rPr>
      <t xml:space="preserve">"로 표시 및 </t>
    </r>
    <r>
      <rPr>
        <b/>
        <sz val="11"/>
        <color rgb="FF000000"/>
        <rFont val="맑은 고딕"/>
        <family val="3"/>
        <charset val="129"/>
      </rPr>
      <t>활성화</t>
    </r>
    <r>
      <rPr>
        <sz val="11"/>
        <color rgb="FF000000"/>
        <rFont val="맑은 고딕"/>
        <family val="3"/>
        <charset val="129"/>
      </rPr>
      <t xml:space="preserve"> 상태</t>
    </r>
    <phoneticPr fontId="2" type="noConversion"/>
  </si>
  <si>
    <r>
      <t xml:space="preserve">주문상세 페이지에서 해당 주문의 </t>
    </r>
    <r>
      <rPr>
        <b/>
        <sz val="11"/>
        <color rgb="FF000000"/>
        <rFont val="맑은 고딕"/>
        <family val="3"/>
        <charset val="129"/>
      </rPr>
      <t>수거/반환용 송장번호 표시</t>
    </r>
    <phoneticPr fontId="2" type="noConversion"/>
  </si>
  <si>
    <t>신규 유입 사용자의 핵심 시나리오인 '로그인 - 예약 - 결제'에 이르는 전체 비즈니스 로직 검증</t>
    <phoneticPr fontId="2" type="noConversion"/>
  </si>
  <si>
    <t>[관리자] 주문번호 검색 후, 수거용 송장번호 발급 버튼클릭</t>
    <phoneticPr fontId="2" type="noConversion"/>
  </si>
  <si>
    <r>
      <t xml:space="preserve">주문관리 페이지에서 해당 주문의 </t>
    </r>
    <r>
      <rPr>
        <b/>
        <sz val="11"/>
        <color rgb="FF000000"/>
        <rFont val="맑은 고딕"/>
        <family val="3"/>
        <charset val="129"/>
      </rPr>
      <t>수거용 송장번호 표시</t>
    </r>
    <phoneticPr fontId="2" type="noConversion"/>
  </si>
  <si>
    <r>
      <t xml:space="preserve">주문상세 페이지에서 해당 주문의 </t>
    </r>
    <r>
      <rPr>
        <b/>
        <sz val="11"/>
        <color rgb="FF000000"/>
        <rFont val="맑은 고딕"/>
        <family val="3"/>
        <charset val="129"/>
      </rPr>
      <t>수거용 송장번호 표시</t>
    </r>
    <phoneticPr fontId="2" type="noConversion"/>
  </si>
  <si>
    <t>해당주문의 상태 "결제완료"일 것</t>
    <phoneticPr fontId="2" type="noConversion"/>
  </si>
  <si>
    <t>[관리자] 주문상태를 "세탁완료"로 변경 후, 반환용 송장번호 발급 버튼클릭</t>
    <phoneticPr fontId="2" type="noConversion"/>
  </si>
  <si>
    <t>해당주문의 상태 "세탁완료"일 것</t>
    <phoneticPr fontId="2" type="noConversion"/>
  </si>
  <si>
    <r>
      <t xml:space="preserve">주문상세 페이지에서 해당 주문의 </t>
    </r>
    <r>
      <rPr>
        <b/>
        <sz val="11"/>
        <color rgb="FF000000"/>
        <rFont val="맑은 고딕"/>
        <family val="3"/>
        <charset val="129"/>
      </rPr>
      <t>반환용 송장번호 표시</t>
    </r>
    <phoneticPr fontId="2" type="noConversion"/>
  </si>
  <si>
    <r>
      <t xml:space="preserve">주문관리 페이지에서 해당 주문의 </t>
    </r>
    <r>
      <rPr>
        <b/>
        <sz val="11"/>
        <color rgb="FF000000"/>
        <rFont val="맑은 고딕"/>
        <family val="3"/>
        <charset val="129"/>
      </rPr>
      <t>반환용 송장번호 표시</t>
    </r>
    <phoneticPr fontId="2" type="noConversion"/>
  </si>
  <si>
    <t>[관리자] 주문상태를 "반환완료"로 변경</t>
    <phoneticPr fontId="2" type="noConversion"/>
  </si>
  <si>
    <t>해당주문의 상태 "반환완료"일 것</t>
    <phoneticPr fontId="2" type="noConversion"/>
  </si>
  <si>
    <r>
      <t xml:space="preserve">주문상세 페이지에서 해당 주문의 </t>
    </r>
    <r>
      <rPr>
        <b/>
        <sz val="11"/>
        <color rgb="FF000000"/>
        <rFont val="맑은 고딕"/>
        <family val="3"/>
        <charset val="129"/>
      </rPr>
      <t>수거/반환용 송장번호 표시</t>
    </r>
    <r>
      <rPr>
        <sz val="11"/>
        <color rgb="FF000000"/>
        <rFont val="맑은 고딕"/>
        <family val="3"/>
        <charset val="129"/>
      </rPr>
      <t xml:space="preserve">
</t>
    </r>
    <r>
      <rPr>
        <sz val="9"/>
        <color rgb="FF000000"/>
        <rFont val="맑은 고딕"/>
        <family val="3"/>
        <charset val="129"/>
      </rPr>
      <t>※Step15에서 확인한 송장번호와 동일할 것</t>
    </r>
    <phoneticPr fontId="2" type="noConversion"/>
  </si>
  <si>
    <r>
      <t xml:space="preserve">신청내역확인 페이지에서 해당 주문의 </t>
    </r>
    <r>
      <rPr>
        <b/>
        <sz val="11"/>
        <color rgb="FF000000"/>
        <rFont val="맑은 고딕"/>
        <family val="3"/>
        <charset val="129"/>
      </rPr>
      <t>수거/반환용 송장번호 표시</t>
    </r>
    <r>
      <rPr>
        <sz val="11"/>
        <color rgb="FF000000"/>
        <rFont val="맑은 고딕"/>
        <family val="3"/>
        <charset val="129"/>
      </rPr>
      <t xml:space="preserve">
</t>
    </r>
    <r>
      <rPr>
        <sz val="9"/>
        <color rgb="FF000000"/>
        <rFont val="맑은 고딕"/>
        <family val="3"/>
        <charset val="129"/>
      </rPr>
      <t>※Step15에서 확인한 송장번호와 동일할 것</t>
    </r>
    <phoneticPr fontId="2" type="noConversion"/>
  </si>
  <si>
    <t>실행결과(Pass/Fail)</t>
    <phoneticPr fontId="2" type="noConversion"/>
  </si>
  <si>
    <t>E2E Case</t>
  </si>
  <si>
    <t>E2E_Order_Critical_01</t>
    <phoneticPr fontId="2" type="noConversion"/>
  </si>
  <si>
    <t>열 레이블</t>
  </si>
  <si>
    <t>#2</t>
    <phoneticPr fontId="2" type="noConversion"/>
  </si>
  <si>
    <t>Edge</t>
  </si>
  <si>
    <t>No</t>
  </si>
  <si>
    <t>대분류</t>
  </si>
  <si>
    <t>TCID</t>
  </si>
  <si>
    <t>우선순위</t>
  </si>
  <si>
    <t>사전조건</t>
  </si>
  <si>
    <t>테스트 절차</t>
  </si>
  <si>
    <t>기대결과</t>
  </si>
  <si>
    <t>실행결과
(Pass/Fail)</t>
  </si>
  <si>
    <t>비고</t>
  </si>
  <si>
    <t>UI/필드</t>
  </si>
  <si>
    <t>Payment_UI_TC1</t>
  </si>
  <si>
    <t>Medium</t>
  </si>
  <si>
    <t>주문 생성 후 결제 페이지 진입</t>
  </si>
  <si>
    <t>결제수단 선택 영역(카드결제) UI 표시 여부 확인</t>
  </si>
  <si>
    <t>결제수단 선택 라디오버튼/드롭다운이 정상적으로 표시될 것</t>
  </si>
  <si>
    <t>Low</t>
  </si>
  <si>
    <t>결제 페이지 진입</t>
  </si>
  <si>
    <t>결제 예정 금액 표시 형식 확인</t>
  </si>
  <si>
    <t>천단위 콤마 및 원화기호(₩)가 포함되어 정상 표시될 것</t>
  </si>
  <si>
    <t>Payment_UI_TC3</t>
  </si>
  <si>
    <t>결제 페이지 진입, 결제수단 미선택 상태</t>
  </si>
  <si>
    <t>결제하기 버튼 클릭 가능 여부 확인</t>
  </si>
  <si>
    <t>결제수단 미선택 시 '결제하기' 버튼이 비활성화(disabled) 상태일 것</t>
  </si>
  <si>
    <t>Positive</t>
  </si>
  <si>
    <t>Payment_PO_TC1</t>
  </si>
  <si>
    <t>High</t>
  </si>
  <si>
    <t>테스트 고객 계정(kim9502072) 로그인, 주문 생성 완료</t>
  </si>
  <si>
    <t>Iamport 테스트 모드 카드정보로 결제 진행 → 결제하기 클릭</t>
  </si>
  <si>
    <t>결제가 정상적으로 완료되고 완료 안내 화면으로 이동할 것</t>
  </si>
  <si>
    <t>Payment_PO_TC2</t>
  </si>
  <si>
    <t>Payment_PO_TC1 결제 완료 상태</t>
  </si>
  <si>
    <t>마이페이지 &gt; 주문내역 조회</t>
  </si>
  <si>
    <t>해당 주문의 상태가 '결제완료'로 변경되어 있을 것</t>
  </si>
  <si>
    <t>Payment_PO_TC3</t>
  </si>
  <si>
    <t>마이페이지 &gt; 주문상세 조회</t>
  </si>
  <si>
    <t>결제금액이 실제 주문금액과 동일하게 표시될 것</t>
  </si>
  <si>
    <t>Payment_PO_TC4</t>
  </si>
  <si>
    <t>결제 완료 직후 화면 확인</t>
  </si>
  <si>
    <t>결제 완료 안내 메시지 또는 영수증 정보가 표시될 것</t>
  </si>
  <si>
    <t>Negative</t>
  </si>
  <si>
    <t>Payment_NE_TC1</t>
  </si>
  <si>
    <t>결제 페이지 진입, 결제수단 미선택</t>
  </si>
  <si>
    <t>필수 결제정보 미입력 상태로 '결제하기' 클릭 시도</t>
  </si>
  <si>
    <t>결제가 진행되지 않고 안내 메시지가 표시될 것(버튼 비활성화 또는 Alert)</t>
  </si>
  <si>
    <t>Payment_NE_TC2</t>
  </si>
  <si>
    <t>Iamport 테스트 모드 내 유효기간 만료 카드정보 입력 후 결제 시도</t>
  </si>
  <si>
    <t>결제 실패 처리되며 실패 사유 Alert가 표시될 것</t>
  </si>
  <si>
    <t>Payment_NE_TC3</t>
  </si>
  <si>
    <t>Iamport 테스트 모드 내 잔액부족 테스트카드로 결제 시도</t>
  </si>
  <si>
    <t>결제 실패 처리되며 '잔액부족' 관련 Alert가 표시될 것</t>
  </si>
  <si>
    <t>Payment_NE_TC4</t>
  </si>
  <si>
    <t>결제창(Iamport 팝업) 오픈 상태</t>
  </si>
  <si>
    <t>결제창 내 '취소' 버튼 클릭</t>
  </si>
  <si>
    <t>결제창이 종료되고 주문이 '결제대기' 또는 미생성 상태로 유지될 것(결제완료 처리되지 않음)</t>
  </si>
  <si>
    <t>보안/핵심검증</t>
  </si>
  <si>
    <t>Payment_Sec_TC1</t>
  </si>
  <si>
    <t>Critical</t>
  </si>
  <si>
    <t>주문 생성 완료, 개발자도구로 요청 조작 가능한 환경</t>
  </si>
  <si>
    <t>클라이언트 결제요청 시 금액 파라미터를 실제 주문금액보다 낮게 변조하여 전송</t>
  </si>
  <si>
    <t>서버가 상품 원가와 클라이언트 전달 금액을 비교 검증하여 변조된 결제 요청을 거부할 것</t>
  </si>
  <si>
    <t>최우선 검증 필요(금액 위변조 방지)</t>
  </si>
  <si>
    <t>Payment_Sec_TC2</t>
  </si>
  <si>
    <t>결제 콜백 수신 가능한 환경(imp_uid 확보)</t>
  </si>
  <si>
    <t>결제 완료 콜백에서 전달된 imp_uid를 서버가 Iamport 서버 API로 재조회하여 실결제 여부를 검증하는지 확인</t>
  </si>
  <si>
    <t>Payment_Sec_TC3</t>
  </si>
  <si>
    <t>이미 결제 완료된 imp_uid 보유</t>
  </si>
  <si>
    <t>동일 imp_uid로 결제완료 요청을 중복 전송</t>
  </si>
  <si>
    <t>중복 주문/중복 결제완료 처리가 발생하지 않고 서버에서 차단할 것</t>
  </si>
  <si>
    <t>Payment_Sec_TC4</t>
  </si>
  <si>
    <t>결제 미완료(결제대기) 주문 1건 보유</t>
  </si>
  <si>
    <t>해당 주문의 상세페이지 URL을 주소창에 직접 입력하여 접근</t>
  </si>
  <si>
    <t>결제 미완료 상태 그대로 노출되며 '결제완료'로 오인 표시되지 않을 것</t>
  </si>
  <si>
    <t>Payment_Eg_TC1</t>
  </si>
  <si>
    <t>결제창(Iamport 팝업) 진행 중</t>
  </si>
  <si>
    <t>카드정보 입력 후 결제 처리 중 네트워크 연결 해제</t>
  </si>
  <si>
    <t>타임아웃 또는 네트워크 오류 안내 메시지가 표시되고, 중복결제로 이어지지 않을 것</t>
  </si>
  <si>
    <t>Payment_Eg_TC2</t>
  </si>
  <si>
    <t>결제창을 완료/취소 없이 강제로 닫기(X버튼 또는 브라우저 종료)</t>
  </si>
  <si>
    <t>주문이 결제완료 상태로 전환되지 않고 '결제대기' 상태로 유지될 것</t>
  </si>
  <si>
    <t>Payment_Eg_TC3</t>
  </si>
  <si>
    <t>결제 처리 중(서버 응답 대기 상태)</t>
  </si>
  <si>
    <t>결제 요청 전송 직후 새로고침(F5) 실행</t>
  </si>
  <si>
    <t>동일 주문에 대해 중복 결제(재요청)가 발생하지 않을 것</t>
  </si>
  <si>
    <t>Payment_Eg_TC4</t>
  </si>
  <si>
    <t>주문 생성 화면 진입</t>
  </si>
  <si>
    <t>세탁 서비스 수량 입력란에 비정상적으로 큰 값(예: 99999) 입력 후 결제 진행</t>
  </si>
  <si>
    <t>서버 측에서 수량 유효성 검증을 통해 비정상 주문 생성을 차단할 것</t>
  </si>
  <si>
    <t>Payment_Eg_TC5</t>
  </si>
  <si>
    <t>환불</t>
  </si>
  <si>
    <t>Payment_Refund_TC1</t>
  </si>
  <si>
    <t>결제완료 주문 1건 보유</t>
  </si>
  <si>
    <t>마이페이지 &gt; 주문내역 &gt; 환불 요청 버튼 클릭 → 사유 입력 후 제출</t>
  </si>
  <si>
    <t>환불 요청이 정상 접수되고 주문 상태가 '환불요청'으로 변경될 것</t>
  </si>
  <si>
    <t>Payment_Refund_TC2</t>
  </si>
  <si>
    <t>환불 처리 완료된 주문 1건 보유</t>
  </si>
  <si>
    <t>이미 환불 완료된 주문에 대해 재차 환불 요청 시도</t>
  </si>
  <si>
    <t>이미 처리된 건임을 안내하며 재요청이 차단될 것</t>
  </si>
  <si>
    <t>Payment_Refund_TC3</t>
  </si>
  <si>
    <t>환불 요청 접수 상태</t>
  </si>
  <si>
    <t>마이페이지 주문상세 조회</t>
  </si>
  <si>
    <t>주문 상태가 '환불처리중'으로 정상 반영되어 표시될 것</t>
  </si>
  <si>
    <t>Payment_Refund_TC4</t>
  </si>
  <si>
    <t>타 사용자 소유 주문의 orderId 확보</t>
  </si>
  <si>
    <t>본인 계정으로 로그인한 상태에서 타 사용자 주문의 환불 요청 URL(orderId 직접 조작)로 접근</t>
  </si>
  <si>
    <t>권한 없음 처리되어 환불 요청이 차단될 것(타인 주문 환불 불가)</t>
  </si>
  <si>
    <t>결제관련 CheckList Case</t>
    <phoneticPr fontId="2" type="noConversion"/>
  </si>
  <si>
    <t>#3</t>
    <phoneticPr fontId="2" type="noConversion"/>
  </si>
  <si>
    <t>Payment_UI_TC2</t>
    <phoneticPr fontId="2" type="noConversion"/>
  </si>
  <si>
    <t>주문관련 E2E Case</t>
    <phoneticPr fontId="2" type="noConversion"/>
  </si>
  <si>
    <t>로그인  Edge Case
(네트워크연결 끊김 및 Alert재표시 확인)</t>
    <phoneticPr fontId="2" type="noConversion"/>
  </si>
  <si>
    <t>로그인  Negative Case (로그인 실패)</t>
    <phoneticPr fontId="2" type="noConversion"/>
  </si>
  <si>
    <t>로그인  Positive Case</t>
    <phoneticPr fontId="2" type="noConversion"/>
  </si>
  <si>
    <t>Login_FieldID3_TC5</t>
    <phoneticPr fontId="2" type="noConversion"/>
  </si>
  <si>
    <t>Decision Table Case</t>
  </si>
  <si>
    <t>CheckList Case</t>
  </si>
  <si>
    <t>Decision Table
 Case</t>
    <phoneticPr fontId="2" type="noConversion"/>
  </si>
  <si>
    <t>CheckList Case</t>
    <phoneticPr fontId="2" type="noConversion"/>
  </si>
  <si>
    <t>CheckList Case</t>
    <phoneticPr fontId="2" type="noConversion"/>
  </si>
  <si>
    <t>E2E Case</t>
    <phoneticPr fontId="2" type="noConversion"/>
  </si>
  <si>
    <t>Decision Table Case</t>
    <phoneticPr fontId="2" type="noConversion"/>
  </si>
  <si>
    <t>서버가 클라이언트 콜백을 그대로 신뢰하지 않고, Iamport API를 통해 imp_uid의 실제 결제 상태/금액을 재검증할 것</t>
    <phoneticPr fontId="2" type="noConversion"/>
  </si>
  <si>
    <t>Payment_Eg_TC5</t>
    <phoneticPr fontId="2" type="noConversion"/>
  </si>
  <si>
    <t>서버 측 날짜 유효성 검증 로직 부재로 과거 날짜 예약이 결제까지 정상 진행</t>
    <phoneticPr fontId="2" type="noConversion"/>
  </si>
  <si>
    <t>서버 측 수량 유효성 검증 로직 부재로 비정상 수량 그대로 주문 생성됨</t>
    <phoneticPr fontId="2" type="noConversion"/>
  </si>
  <si>
    <t>서버가 Iamport API를 호출하지 않고 클라이언트 콜백만으로 결제완료 처리함</t>
    <phoneticPr fontId="2" type="noConversion"/>
  </si>
  <si>
    <t>예약일자를 오늘 이전 과거 날짜로 선택 후 결제 진행</t>
    <phoneticPr fontId="2" type="noConversion"/>
  </si>
  <si>
    <t>예약 화면 진입</t>
    <phoneticPr fontId="2" type="noConversion"/>
  </si>
  <si>
    <t>예약페이지, 결제페이지</t>
    <phoneticPr fontId="2" type="noConversion"/>
  </si>
  <si>
    <t>Payment_Eg_TC5.mp4</t>
    <phoneticPr fontId="2" type="noConversion"/>
  </si>
  <si>
    <t>서버 측에서 과거 날짜 예약을 차단할 것</t>
    <phoneticPr fontId="2" type="noConversion"/>
  </si>
  <si>
    <t>예약일자를 오늘 이전 과거 날짜로 선택 후 결제 진행시, 서버 측에서 과거 날짜 예약을 차단</t>
    <phoneticPr fontId="2" type="noConversion"/>
  </si>
  <si>
    <t>서버 측에서 과거 날짜 예약을 차단되지 않고, 정상결제 처리</t>
    <phoneticPr fontId="2" type="noConversion"/>
  </si>
  <si>
    <t>[예약/결제]예약일 과거일자 설정에도 정상결제 처리되는 현상</t>
    <phoneticPr fontId="2" type="noConversion"/>
  </si>
  <si>
    <t>1. Chrome브라우저로 홈페이지 진입
2. 일반유저로 로그인
3. 예약 화면 진입
4. 임의의 카테고리 선택
5. 예약날짜를 과거로 선택
6. 임의의 옵션선택 후, 예약하기 버튼 클릭
7. 결제진행 (카드결제 : 테스트 토스카드로 결제진행)</t>
    <phoneticPr fontId="2" type="noConversion"/>
  </si>
  <si>
    <t>Caps Lock메시지 비표시</t>
    <phoneticPr fontId="2" type="noConversion"/>
  </si>
  <si>
    <t xml:space="preserve">하기의 Caps Lock메시지 표시
 - "Caps Lock이 켜져 있습니다." </t>
    <phoneticPr fontId="2" type="noConversion"/>
  </si>
  <si>
    <t>Login_FieldID3_TC5.mp4</t>
    <phoneticPr fontId="2" type="noConversion"/>
  </si>
  <si>
    <t>Minor</t>
  </si>
  <si>
    <t>Edge</t>
    <phoneticPr fontId="2" type="noConversion"/>
  </si>
  <si>
    <t>[로그인페이지]CapsLock메세지가 표시되지 않음</t>
    <phoneticPr fontId="2" type="noConversion"/>
  </si>
  <si>
    <t>1. Chrome브라우저로 홈페이지 진입
2. 페이지헤더(네비게이션바)의 로그인메뉴 클릭
3. Caps Lock을 Off로 전환
4. FieldID3을 클릭후, CapsLock을 On으로 전환</t>
    <phoneticPr fontId="2" type="noConversion"/>
  </si>
  <si>
    <t>#2</t>
    <phoneticPr fontId="2" type="noConversion"/>
  </si>
  <si>
    <t>#3</t>
    <phoneticPr fontId="2" type="noConversion"/>
  </si>
  <si>
    <t>#4</t>
  </si>
  <si>
    <t>#5</t>
  </si>
  <si>
    <t>#6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</si>
</sst>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000000"/>
      <name val="MS Gothic"/>
      <family val="3"/>
      <charset val="128"/>
    </font>
    <font>
      <b/>
      <sz val="11"/>
      <color rgb="FFFF0000"/>
      <name val="MS Gothic"/>
      <family val="3"/>
      <charset val="128"/>
    </font>
    <font>
      <b/>
      <sz val="11"/>
      <color rgb="FF000000"/>
      <name val="Yu Gothic"/>
      <family val="3"/>
      <charset val="128"/>
    </font>
    <font>
      <sz val="9"/>
      <color rgb="FF000000"/>
      <name val="맑은 고딕"/>
      <family val="3"/>
      <charset val="129"/>
    </font>
    <font>
      <b/>
      <sz val="11"/>
      <name val="Yu Gothic"/>
      <family val="3"/>
      <charset val="128"/>
    </font>
    <font>
      <b/>
      <sz val="11"/>
      <name val="Yu Gothic"/>
      <family val="2"/>
    </font>
    <font>
      <b/>
      <sz val="11"/>
      <color rgb="FF0070C0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18"/>
      <color theme="0"/>
      <name val="HY헤드라인M"/>
      <family val="1"/>
      <charset val="129"/>
    </font>
    <font>
      <sz val="18"/>
      <color theme="0"/>
      <name val="HY헤드라인M"/>
      <family val="1"/>
      <charset val="129"/>
    </font>
    <font>
      <b/>
      <sz val="22"/>
      <color theme="0"/>
      <name val="HY헤드라인M"/>
      <family val="1"/>
      <charset val="129"/>
    </font>
    <font>
      <sz val="22"/>
      <color theme="0"/>
      <name val="HY헤드라인M"/>
      <family val="1"/>
      <charset val="129"/>
    </font>
    <font>
      <b/>
      <sz val="20"/>
      <color theme="0"/>
      <name val="HY헤드라인M"/>
      <family val="1"/>
      <charset val="129"/>
    </font>
    <font>
      <sz val="20"/>
      <color theme="0"/>
      <name val="HY헤드라인M"/>
      <family val="1"/>
      <charset val="129"/>
    </font>
    <font>
      <sz val="10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1"/>
      <color rgb="FFFFFFFF"/>
      <name val="맑은 고딕"/>
      <family val="3"/>
      <charset val="129"/>
    </font>
    <font>
      <sz val="16"/>
      <color theme="0"/>
      <name val="HY헤드라인M"/>
      <family val="1"/>
      <charset val="129"/>
    </font>
  </fonts>
  <fills count="1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4472C4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D6F3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medium">
        <color indexed="64"/>
      </right>
      <top style="thick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8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0" fontId="3" fillId="0" borderId="2" xfId="0" applyFont="1" applyBorder="1" applyAlignment="1">
      <alignment horizontal="center" vertical="center" textRotation="90"/>
    </xf>
    <xf numFmtId="0" fontId="1" fillId="2" borderId="4" xfId="0" applyFont="1" applyFill="1" applyBorder="1">
      <alignment vertical="center"/>
    </xf>
    <xf numFmtId="0" fontId="1" fillId="4" borderId="8" xfId="0" applyFont="1" applyFill="1" applyBorder="1">
      <alignment vertical="center"/>
    </xf>
    <xf numFmtId="0" fontId="1" fillId="4" borderId="9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1" fillId="4" borderId="4" xfId="0" applyFont="1" applyFill="1" applyBorder="1">
      <alignment vertical="center"/>
    </xf>
    <xf numFmtId="0" fontId="1" fillId="4" borderId="2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5" fillId="3" borderId="1" xfId="0" applyFont="1" applyFill="1" applyBorder="1" applyAlignment="1">
      <alignment vertical="center" wrapText="1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3" borderId="15" xfId="0" applyFont="1" applyFill="1" applyBorder="1">
      <alignment vertical="center"/>
    </xf>
    <xf numFmtId="0" fontId="3" fillId="3" borderId="18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5" fillId="3" borderId="9" xfId="0" applyFont="1" applyFill="1" applyBorder="1" applyAlignment="1">
      <alignment vertical="center" wrapText="1"/>
    </xf>
    <xf numFmtId="0" fontId="3" fillId="0" borderId="13" xfId="0" applyFont="1" applyBorder="1" applyAlignment="1">
      <alignment horizontal="center" vertical="center" textRotation="90"/>
    </xf>
    <xf numFmtId="0" fontId="3" fillId="0" borderId="19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4" borderId="23" xfId="0" applyFont="1" applyFill="1" applyBorder="1">
      <alignment vertical="center"/>
    </xf>
    <xf numFmtId="0" fontId="3" fillId="0" borderId="23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 wrapText="1"/>
    </xf>
    <xf numFmtId="0" fontId="6" fillId="2" borderId="8" xfId="0" applyFont="1" applyFill="1" applyBorder="1">
      <alignment vertical="center"/>
    </xf>
    <xf numFmtId="0" fontId="5" fillId="2" borderId="8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3" fillId="7" borderId="29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19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4" fillId="5" borderId="14" xfId="0" applyFont="1" applyFill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6" fillId="5" borderId="8" xfId="0" applyFont="1" applyFill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5" borderId="16" xfId="0" applyFont="1" applyFill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pivotButton="1">
      <alignment vertical="center"/>
    </xf>
    <xf numFmtId="0" fontId="0" fillId="5" borderId="1" xfId="0" applyFill="1" applyBorder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8" borderId="1" xfId="0" applyFont="1" applyFill="1" applyBorder="1">
      <alignment vertical="center"/>
    </xf>
    <xf numFmtId="0" fontId="1" fillId="8" borderId="1" xfId="0" applyFont="1" applyFill="1" applyBorder="1" applyAlignment="1">
      <alignment vertical="center" wrapText="1"/>
    </xf>
    <xf numFmtId="0" fontId="3" fillId="2" borderId="29" xfId="0" applyFont="1" applyFill="1" applyBorder="1">
      <alignment vertical="center"/>
    </xf>
    <xf numFmtId="0" fontId="3" fillId="2" borderId="30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7" borderId="15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1" fillId="8" borderId="8" xfId="0" applyFont="1" applyFill="1" applyBorder="1">
      <alignment vertical="center"/>
    </xf>
    <xf numFmtId="0" fontId="1" fillId="4" borderId="8" xfId="0" applyFont="1" applyFill="1" applyBorder="1" applyAlignment="1">
      <alignment vertical="center" wrapText="1"/>
    </xf>
    <xf numFmtId="0" fontId="0" fillId="0" borderId="19" xfId="0" applyBorder="1">
      <alignment vertical="center"/>
    </xf>
    <xf numFmtId="0" fontId="0" fillId="6" borderId="30" xfId="0" applyFill="1" applyBorder="1" applyAlignment="1">
      <alignment horizontal="center" vertical="center"/>
    </xf>
    <xf numFmtId="0" fontId="0" fillId="0" borderId="21" xfId="0" applyBorder="1">
      <alignment vertical="center"/>
    </xf>
    <xf numFmtId="0" fontId="1" fillId="0" borderId="21" xfId="0" applyFont="1" applyBorder="1">
      <alignment vertical="center"/>
    </xf>
    <xf numFmtId="0" fontId="3" fillId="0" borderId="21" xfId="0" applyFont="1" applyBorder="1" applyAlignment="1">
      <alignment vertical="center" wrapText="1"/>
    </xf>
    <xf numFmtId="0" fontId="0" fillId="6" borderId="31" xfId="0" applyFill="1" applyBorder="1" applyAlignment="1">
      <alignment horizontal="center" vertical="center"/>
    </xf>
    <xf numFmtId="0" fontId="1" fillId="8" borderId="9" xfId="0" applyFont="1" applyFill="1" applyBorder="1">
      <alignment vertical="center"/>
    </xf>
    <xf numFmtId="0" fontId="1" fillId="4" borderId="9" xfId="0" applyFont="1" applyFill="1" applyBorder="1" applyAlignment="1">
      <alignment vertical="center" wrapText="1"/>
    </xf>
    <xf numFmtId="0" fontId="0" fillId="0" borderId="24" xfId="0" applyBorder="1">
      <alignment vertical="center"/>
    </xf>
    <xf numFmtId="0" fontId="0" fillId="5" borderId="9" xfId="0" applyFill="1" applyBorder="1">
      <alignment vertical="center"/>
    </xf>
    <xf numFmtId="0" fontId="0" fillId="5" borderId="8" xfId="0" applyFill="1" applyBorder="1">
      <alignment vertical="center"/>
    </xf>
    <xf numFmtId="0" fontId="3" fillId="3" borderId="47" xfId="0" applyFont="1" applyFill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1" fillId="0" borderId="0" xfId="1">
      <alignment vertical="center"/>
    </xf>
    <xf numFmtId="0" fontId="1" fillId="0" borderId="0" xfId="1" applyAlignment="1"/>
    <xf numFmtId="0" fontId="3" fillId="0" borderId="0" xfId="0" applyFont="1" applyAlignment="1">
      <alignment horizontal="center" vertical="center" textRotation="90"/>
    </xf>
    <xf numFmtId="0" fontId="27" fillId="11" borderId="1" xfId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12" borderId="1" xfId="1" applyFill="1" applyBorder="1" applyAlignment="1">
      <alignment horizontal="center" vertical="center" wrapText="1"/>
    </xf>
    <xf numFmtId="0" fontId="1" fillId="0" borderId="1" xfId="1" applyBorder="1" applyAlignment="1">
      <alignment horizontal="left" vertical="center" wrapText="1"/>
    </xf>
    <xf numFmtId="0" fontId="1" fillId="13" borderId="1" xfId="1" applyFill="1" applyBorder="1" applyAlignment="1">
      <alignment horizontal="center" vertical="center" wrapText="1"/>
    </xf>
    <xf numFmtId="0" fontId="1" fillId="14" borderId="1" xfId="1" applyFill="1" applyBorder="1" applyAlignment="1">
      <alignment horizontal="center" vertical="center" wrapText="1"/>
    </xf>
    <xf numFmtId="0" fontId="1" fillId="15" borderId="1" xfId="1" applyFill="1" applyBorder="1" applyAlignment="1">
      <alignment horizontal="center" vertical="center" wrapText="1"/>
    </xf>
    <xf numFmtId="0" fontId="1" fillId="16" borderId="1" xfId="1" applyFill="1" applyBorder="1" applyAlignment="1">
      <alignment horizontal="center" vertical="center" wrapText="1"/>
    </xf>
    <xf numFmtId="0" fontId="1" fillId="17" borderId="1" xfId="1" applyFill="1" applyBorder="1" applyAlignment="1">
      <alignment horizontal="center" vertical="center" wrapText="1"/>
    </xf>
    <xf numFmtId="0" fontId="27" fillId="11" borderId="2" xfId="1" applyFont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1" fillId="2" borderId="1" xfId="1" applyFill="1" applyBorder="1" applyAlignment="1">
      <alignment horizontal="left" vertical="center" wrapText="1"/>
    </xf>
    <xf numFmtId="0" fontId="3" fillId="2" borderId="4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7" fillId="10" borderId="5" xfId="0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center" vertical="center"/>
    </xf>
    <xf numFmtId="0" fontId="18" fillId="10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 wrapText="1"/>
    </xf>
    <xf numFmtId="0" fontId="1" fillId="8" borderId="1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9" fillId="10" borderId="25" xfId="0" applyFont="1" applyFill="1" applyBorder="1" applyAlignment="1">
      <alignment horizontal="center" vertical="center"/>
    </xf>
    <xf numFmtId="0" fontId="20" fillId="10" borderId="26" xfId="0" applyFont="1" applyFill="1" applyBorder="1" applyAlignment="1">
      <alignment horizontal="center" vertical="center"/>
    </xf>
    <xf numFmtId="0" fontId="20" fillId="10" borderId="27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5" fillId="10" borderId="25" xfId="0" applyFont="1" applyFill="1" applyBorder="1" applyAlignment="1">
      <alignment horizontal="center" vertical="center" wrapText="1"/>
    </xf>
    <xf numFmtId="0" fontId="14" fillId="10" borderId="26" xfId="0" applyFont="1" applyFill="1" applyBorder="1" applyAlignment="1">
      <alignment horizontal="center" vertical="center"/>
    </xf>
    <xf numFmtId="0" fontId="14" fillId="10" borderId="2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3" borderId="43" xfId="0" applyFont="1" applyFill="1" applyBorder="1" applyAlignment="1">
      <alignment horizontal="center" vertical="center" wrapText="1"/>
    </xf>
    <xf numFmtId="0" fontId="5" fillId="3" borderId="44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/>
    </xf>
    <xf numFmtId="0" fontId="28" fillId="10" borderId="6" xfId="0" applyFont="1" applyFill="1" applyBorder="1" applyAlignment="1">
      <alignment horizontal="center" vertical="center"/>
    </xf>
    <xf numFmtId="0" fontId="28" fillId="10" borderId="7" xfId="0" applyFont="1" applyFill="1" applyBorder="1" applyAlignment="1">
      <alignment horizontal="center" vertical="center"/>
    </xf>
    <xf numFmtId="0" fontId="3" fillId="7" borderId="41" xfId="0" applyFont="1" applyFill="1" applyBorder="1" applyAlignment="1">
      <alignment horizontal="center" vertical="center"/>
    </xf>
    <xf numFmtId="0" fontId="3" fillId="7" borderId="4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6" fillId="10" borderId="4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 wrapText="1"/>
    </xf>
    <xf numFmtId="0" fontId="1" fillId="2" borderId="24" xfId="0" applyFont="1" applyFill="1" applyBorder="1" applyAlignment="1">
      <alignment horizontal="left" vertical="center" wrapText="1"/>
    </xf>
    <xf numFmtId="0" fontId="19" fillId="10" borderId="0" xfId="0" applyFont="1" applyFill="1" applyAlignment="1">
      <alignment horizontal="center" vertical="center"/>
    </xf>
    <xf numFmtId="0" fontId="21" fillId="0" borderId="1" xfId="1" applyFont="1" applyBorder="1" applyAlignment="1">
      <alignment horizontal="left" vertical="center" wrapText="1"/>
    </xf>
  </cellXfs>
  <cellStyles count="2">
    <cellStyle name="표준" xfId="0" builtinId="0"/>
    <cellStyle name="표준 2" xfId="1" xr:uid="{F5FC62F4-C47D-4F11-8489-094896B47259}"/>
  </cellStyles>
  <dxfs count="30"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ont>
        <strike val="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ill>
        <patternFill>
          <bgColor rgb="FFFFCDCD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Light Style 1 - Accent 1" table="0" count="7" xr9:uid="{00000000-0011-0000-FFFF-FFFF01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</tableStyles>
  <colors>
    <mruColors>
      <color rgb="FFC5DCFF"/>
      <color rgb="FFFFCD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/>
              <a:t>Decision </a:t>
            </a:r>
            <a:r>
              <a:rPr lang="en-US" altLang="ko-KR" sz="1400" b="1" baseline="0"/>
              <a:t>Table </a:t>
            </a:r>
            <a:r>
              <a:rPr lang="en-US" altLang="ko-KR" sz="1400" b="1"/>
              <a:t>Case</a:t>
            </a:r>
            <a:endParaRPr lang="ko-KR" altLang="en-US" sz="1400" b="1"/>
          </a:p>
        </c:rich>
      </c:tx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16-4E3B-8D4D-D30C10DD7D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'Test Result'!$B$2:$B$4</c15:sqref>
                  </c15:fullRef>
                </c:ext>
              </c:extLst>
              <c:f>'Test Result'!$B$3:$B$4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'Test Result'!$C$2:$C$4</c15:sqref>
                  </c15:fullRef>
                </c:ext>
              </c:extLst>
              <c:f>'Test Result'!$C$3:$C$4</c:f>
              <c:numCache>
                <c:formatCode>General</c:formatCode>
                <c:ptCount val="2"/>
                <c:pt idx="0">
                  <c:v>31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6-4E3B-8D4D-D30C10DD7D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96798943"/>
        <c:axId val="1296799423"/>
      </c:barChart>
      <c:catAx>
        <c:axId val="12967989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6799423"/>
        <c:crosses val="autoZero"/>
        <c:auto val="1"/>
        <c:lblAlgn val="ctr"/>
        <c:lblOffset val="100"/>
        <c:noMultiLvlLbl val="0"/>
      </c:catAx>
      <c:valAx>
        <c:axId val="12967994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9679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/>
              <a:t>CheckList Case</a:t>
            </a:r>
            <a:endParaRPr lang="ko-KR" altLang="en-US" b="1"/>
          </a:p>
        </c:rich>
      </c:tx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AEB-4268-87A0-79312058BE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'Test Result'!$B$5:$B$7</c15:sqref>
                  </c15:fullRef>
                </c:ext>
              </c:extLst>
              <c:f>'Test Result'!$B$6:$B$7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'Test Result'!$C$5:$C$7</c15:sqref>
                  </c15:fullRef>
                </c:ext>
              </c:extLst>
              <c:f>'Test Result'!$C$6:$C$7</c:f>
              <c:numCache>
                <c:formatCode>General</c:formatCode>
                <c:ptCount val="2"/>
                <c:pt idx="0">
                  <c:v>21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EB-4268-87A0-79312058BE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96798943"/>
        <c:axId val="1296799423"/>
      </c:barChart>
      <c:catAx>
        <c:axId val="1296798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6799423"/>
        <c:crosses val="autoZero"/>
        <c:auto val="1"/>
        <c:lblAlgn val="ctr"/>
        <c:lblOffset val="100"/>
        <c:noMultiLvlLbl val="0"/>
      </c:catAx>
      <c:valAx>
        <c:axId val="12967994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9679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/>
              <a:t>FieldRule Case</a:t>
            </a:r>
          </a:p>
        </c:rich>
      </c:tx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74-4F50-A963-9F6AB19331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'Test Result'!$B$8:$B$10</c15:sqref>
                  </c15:fullRef>
                </c:ext>
              </c:extLst>
              <c:f>'Test Result'!$B$9:$B$10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'Test Result'!$C$8:$C$10</c15:sqref>
                  </c15:fullRef>
                </c:ext>
              </c:extLst>
              <c:f>'Test Result'!$C$9:$C$10</c:f>
              <c:numCache>
                <c:formatCode>General</c:formatCode>
                <c:ptCount val="2"/>
                <c:pt idx="0">
                  <c:v>24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74-4F50-A963-9F6AB19331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96798943"/>
        <c:axId val="1296799423"/>
      </c:barChart>
      <c:catAx>
        <c:axId val="12967989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6799423"/>
        <c:crosses val="autoZero"/>
        <c:auto val="1"/>
        <c:lblAlgn val="ctr"/>
        <c:lblOffset val="100"/>
        <c:noMultiLvlLbl val="0"/>
      </c:catAx>
      <c:valAx>
        <c:axId val="12967994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9679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/>
              <a:t>E2E Case</a:t>
            </a:r>
            <a:endParaRPr lang="ko-KR" altLang="en-US" b="1"/>
          </a:p>
        </c:rich>
      </c:tx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E4E-427A-B0FD-602BB2B230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'Test Result'!$B$11:$B$13</c15:sqref>
                  </c15:fullRef>
                </c:ext>
              </c:extLst>
              <c:f>'Test Result'!$B$12:$B$13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'Test Result'!$C$11:$C$13</c15:sqref>
                  </c15:fullRef>
                </c:ext>
              </c:extLst>
              <c:f>'Test Result'!$C$12:$C$13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4E-427A-B0FD-602BB2B230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96798943"/>
        <c:axId val="1296799423"/>
      </c:barChart>
      <c:catAx>
        <c:axId val="12967989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6799423"/>
        <c:crosses val="autoZero"/>
        <c:auto val="1"/>
        <c:lblAlgn val="ctr"/>
        <c:lblOffset val="100"/>
        <c:noMultiLvlLbl val="0"/>
      </c:catAx>
      <c:valAx>
        <c:axId val="12967994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9679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/>
              <a:t>Test Result</a:t>
            </a:r>
            <a:endParaRPr lang="ko-KR" altLang="en-US" b="1"/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65-4E40-BC95-ACCFD354B10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0E7-4639-A796-3024A410E4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'Test Result'!$B$14:$B$16</c15:sqref>
                  </c15:fullRef>
                </c:ext>
              </c:extLst>
              <c:f>'Test Result'!$B$15:$B$16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'Test Result'!$C$14:$C$16</c15:sqref>
                  </c15:fullRef>
                </c:ext>
              </c:extLst>
              <c:f>'Test Result'!$C$15:$C$16</c:f>
              <c:numCache>
                <c:formatCode>General</c:formatCode>
                <c:ptCount val="2"/>
                <c:pt idx="0">
                  <c:v>77</c:v>
                </c:pt>
                <c:pt idx="1">
                  <c:v>17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2-1665-4E40-BC95-ACCFD354B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[QA_TestCase_Portfolio.xlsx]Test Result!피벗 테이블1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/>
              <a:t>Detail Result</a:t>
            </a:r>
            <a:endParaRPr lang="ko-KR" altLang="en-US" b="1"/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'Test Result'!$L$22:$L$23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'Test Result'!$K$24:$K$28</c:f>
              <c:strCache>
                <c:ptCount val="4"/>
                <c:pt idx="0">
                  <c:v>FieldRule Case</c:v>
                </c:pt>
                <c:pt idx="1">
                  <c:v>E2E Case</c:v>
                </c:pt>
                <c:pt idx="2">
                  <c:v>Decision Table Case</c:v>
                </c:pt>
                <c:pt idx="3">
                  <c:v>CheckList Case</c:v>
                </c:pt>
              </c:strCache>
            </c:strRef>
          </c:cat>
          <c:val>
            <c:numRef>
              <c:f>'Test Result'!$L$24:$L$28</c:f>
              <c:numCache>
                <c:formatCode>General</c:formatCode>
                <c:ptCount val="4"/>
                <c:pt idx="0">
                  <c:v>5</c:v>
                </c:pt>
                <c:pt idx="2">
                  <c:v>9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4BB-4B51-A198-E276338C03F3}"/>
            </c:ext>
          </c:extLst>
        </c:ser>
        <c:ser>
          <c:idx val="1"/>
          <c:order val="1"/>
          <c:tx>
            <c:strRef>
              <c:f>'Test Result'!$M$22:$M$23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'Test Result'!$K$24:$K$28</c:f>
              <c:strCache>
                <c:ptCount val="4"/>
                <c:pt idx="0">
                  <c:v>FieldRule Case</c:v>
                </c:pt>
                <c:pt idx="1">
                  <c:v>E2E Case</c:v>
                </c:pt>
                <c:pt idx="2">
                  <c:v>Decision Table Case</c:v>
                </c:pt>
                <c:pt idx="3">
                  <c:v>CheckList Case</c:v>
                </c:pt>
              </c:strCache>
            </c:strRef>
          </c:cat>
          <c:val>
            <c:numRef>
              <c:f>'Test Result'!$M$24:$M$28</c:f>
              <c:numCache>
                <c:formatCode>General</c:formatCode>
                <c:ptCount val="4"/>
                <c:pt idx="0">
                  <c:v>24</c:v>
                </c:pt>
                <c:pt idx="1">
                  <c:v>1</c:v>
                </c:pt>
                <c:pt idx="2">
                  <c:v>31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4BB-4B51-A198-E276338C0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3539855"/>
        <c:axId val="873543215"/>
      </c:barChart>
      <c:catAx>
        <c:axId val="87353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3543215"/>
        <c:crosses val="autoZero"/>
        <c:auto val="1"/>
        <c:lblAlgn val="ctr"/>
        <c:lblOffset val="100"/>
        <c:noMultiLvlLbl val="0"/>
      </c:catAx>
      <c:valAx>
        <c:axId val="873543215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353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0</xdr:colOff>
      <xdr:row>7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7098416-E5BE-1BA4-DF7F-80FBE8EDB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7</xdr:row>
      <xdr:rowOff>19050</xdr:rowOff>
    </xdr:from>
    <xdr:to>
      <xdr:col>9</xdr:col>
      <xdr:colOff>0</xdr:colOff>
      <xdr:row>13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554C6F64-DF3D-42A8-8A6E-02BF4B848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13</xdr:row>
      <xdr:rowOff>1</xdr:rowOff>
    </xdr:from>
    <xdr:to>
      <xdr:col>9</xdr:col>
      <xdr:colOff>0</xdr:colOff>
      <xdr:row>19</xdr:row>
      <xdr:rowOff>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5D046273-AE6C-4913-8BC5-7DFDC6D5D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9</xdr:col>
      <xdr:colOff>0</xdr:colOff>
      <xdr:row>25</xdr:row>
      <xdr:rowOff>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95BF2593-E0EC-48C0-95F3-FEEFABD493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7843</xdr:colOff>
      <xdr:row>1</xdr:row>
      <xdr:rowOff>0</xdr:rowOff>
    </xdr:from>
    <xdr:to>
      <xdr:col>17</xdr:col>
      <xdr:colOff>19050</xdr:colOff>
      <xdr:row>18</xdr:row>
      <xdr:rowOff>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8EE9B33E-4ABD-4CD3-8800-32246D61BF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280987</xdr:colOff>
      <xdr:row>27</xdr:row>
      <xdr:rowOff>28575</xdr:rowOff>
    </xdr:from>
    <xdr:to>
      <xdr:col>16</xdr:col>
      <xdr:colOff>595312</xdr:colOff>
      <xdr:row>40</xdr:row>
      <xdr:rowOff>47625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6910346-6139-76F2-57A9-020825051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2</xdr:row>
      <xdr:rowOff>47625</xdr:rowOff>
    </xdr:from>
    <xdr:to>
      <xdr:col>19</xdr:col>
      <xdr:colOff>559460</xdr:colOff>
      <xdr:row>23</xdr:row>
      <xdr:rowOff>19050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807B844D-0711-E14F-5FEC-C068DACE0166}"/>
            </a:ext>
          </a:extLst>
        </xdr:cNvPr>
        <xdr:cNvGrpSpPr/>
      </xdr:nvGrpSpPr>
      <xdr:grpSpPr>
        <a:xfrm>
          <a:off x="14811375" y="1095375"/>
          <a:ext cx="6712610" cy="4810125"/>
          <a:chOff x="14506575" y="1095375"/>
          <a:chExt cx="6712610" cy="4657725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9681921D-8681-4F3F-B99F-B3DBE667DD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4506575" y="1095375"/>
            <a:ext cx="6712610" cy="4649902"/>
          </a:xfrm>
          <a:prstGeom prst="rect">
            <a:avLst/>
          </a:prstGeom>
          <a:ln w="25400">
            <a:solidFill>
              <a:schemeClr val="tx1"/>
            </a:solidFill>
          </a:ln>
        </xdr:spPr>
      </xdr:pic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47461DB5-F9DC-EF4B-F25E-1AE856D1D62E}"/>
              </a:ext>
            </a:extLst>
          </xdr:cNvPr>
          <xdr:cNvSpPr txBox="1"/>
        </xdr:nvSpPr>
        <xdr:spPr>
          <a:xfrm>
            <a:off x="18202275" y="1643579"/>
            <a:ext cx="104775" cy="793669"/>
          </a:xfrm>
          <a:prstGeom prst="rect">
            <a:avLst/>
          </a:prstGeom>
          <a:noFill/>
        </xdr:spPr>
        <xdr:txBody>
          <a:bodyPr vertOverflow="clip" horzOverflow="clip" wrap="square" lIns="0" tIns="0" rIns="0" bIns="0" rtlCol="0" anchor="ctr" anchorCtr="0"/>
          <a:lstStyle/>
          <a:p>
            <a:r>
              <a:rPr lang="en-US" altLang="ko-KR" sz="1200" b="1">
                <a:solidFill>
                  <a:srgbClr val="FF0000"/>
                </a:solidFill>
                <a:latin typeface="HY견고딕" panose="02030600000101010101" pitchFamily="18" charset="-127"/>
                <a:ea typeface="HY견고딕" panose="02030600000101010101" pitchFamily="18" charset="-127"/>
              </a:rPr>
              <a:t>1</a:t>
            </a:r>
            <a:endParaRPr lang="ko-KR" altLang="en-US" sz="1200" b="1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44750DAE-7AEC-4B75-8C1F-A26B3460D5B0}"/>
              </a:ext>
            </a:extLst>
          </xdr:cNvPr>
          <xdr:cNvSpPr txBox="1"/>
        </xdr:nvSpPr>
        <xdr:spPr>
          <a:xfrm>
            <a:off x="18459450" y="2758817"/>
            <a:ext cx="104775" cy="272454"/>
          </a:xfrm>
          <a:prstGeom prst="rect">
            <a:avLst/>
          </a:prstGeom>
          <a:noFill/>
        </xdr:spPr>
        <xdr:txBody>
          <a:bodyPr vertOverflow="clip" horzOverflow="clip" wrap="square" lIns="0" tIns="0" rIns="0" bIns="0" rtlCol="0" anchor="ctr" anchorCtr="0"/>
          <a:lstStyle/>
          <a:p>
            <a:r>
              <a:rPr lang="en-US" altLang="ko-KR" sz="1200" b="1">
                <a:solidFill>
                  <a:srgbClr val="FF0000"/>
                </a:solidFill>
                <a:latin typeface="HY견고딕" panose="02030600000101010101" pitchFamily="18" charset="-127"/>
                <a:ea typeface="HY견고딕" panose="02030600000101010101" pitchFamily="18" charset="-127"/>
              </a:rPr>
              <a:t>2</a:t>
            </a:r>
            <a:endParaRPr lang="ko-KR" altLang="en-US" sz="1200" b="1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4DCF523-AE91-4376-94A4-96E516F034BC}"/>
              </a:ext>
            </a:extLst>
          </xdr:cNvPr>
          <xdr:cNvSpPr txBox="1"/>
        </xdr:nvSpPr>
        <xdr:spPr>
          <a:xfrm>
            <a:off x="18478500" y="3064004"/>
            <a:ext cx="104775" cy="272454"/>
          </a:xfrm>
          <a:prstGeom prst="rect">
            <a:avLst/>
          </a:prstGeom>
          <a:noFill/>
        </xdr:spPr>
        <xdr:txBody>
          <a:bodyPr vertOverflow="clip" horzOverflow="clip" wrap="square" lIns="0" tIns="0" rIns="0" bIns="0" rtlCol="0" anchor="ctr" anchorCtr="0"/>
          <a:lstStyle/>
          <a:p>
            <a:r>
              <a:rPr lang="en-US" altLang="ko-KR" sz="1200" b="1">
                <a:solidFill>
                  <a:srgbClr val="FF0000"/>
                </a:solidFill>
                <a:latin typeface="HY견고딕" panose="02030600000101010101" pitchFamily="18" charset="-127"/>
                <a:ea typeface="HY견고딕" panose="02030600000101010101" pitchFamily="18" charset="-127"/>
              </a:rPr>
              <a:t>3</a:t>
            </a:r>
            <a:endParaRPr lang="ko-KR" altLang="en-US" sz="1200" b="1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endParaRP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B45B8132-58FA-4A1F-B797-7E7F7E746D8C}"/>
              </a:ext>
            </a:extLst>
          </xdr:cNvPr>
          <xdr:cNvSpPr txBox="1"/>
        </xdr:nvSpPr>
        <xdr:spPr>
          <a:xfrm>
            <a:off x="18459450" y="3395928"/>
            <a:ext cx="104775" cy="272454"/>
          </a:xfrm>
          <a:prstGeom prst="rect">
            <a:avLst/>
          </a:prstGeom>
          <a:noFill/>
        </xdr:spPr>
        <xdr:txBody>
          <a:bodyPr vertOverflow="clip" horzOverflow="clip" wrap="square" lIns="0" tIns="0" rIns="0" bIns="0" rtlCol="0" anchor="ctr" anchorCtr="0"/>
          <a:lstStyle/>
          <a:p>
            <a:r>
              <a:rPr lang="en-US" altLang="ko-KR" sz="1200" b="1">
                <a:solidFill>
                  <a:srgbClr val="FF0000"/>
                </a:solidFill>
                <a:latin typeface="HY견고딕" panose="02030600000101010101" pitchFamily="18" charset="-127"/>
                <a:ea typeface="HY견고딕" panose="02030600000101010101" pitchFamily="18" charset="-127"/>
              </a:rPr>
              <a:t>4</a:t>
            </a:r>
            <a:endParaRPr lang="ko-KR" altLang="en-US" sz="1200" b="1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52B157CE-4A5E-4E37-A758-5707DC72E46E}"/>
              </a:ext>
            </a:extLst>
          </xdr:cNvPr>
          <xdr:cNvSpPr txBox="1"/>
        </xdr:nvSpPr>
        <xdr:spPr>
          <a:xfrm>
            <a:off x="17106900" y="3686949"/>
            <a:ext cx="104775" cy="272454"/>
          </a:xfrm>
          <a:prstGeom prst="rect">
            <a:avLst/>
          </a:prstGeom>
          <a:noFill/>
        </xdr:spPr>
        <xdr:txBody>
          <a:bodyPr vertOverflow="clip" horzOverflow="clip" wrap="square" lIns="0" tIns="0" rIns="0" bIns="0" rtlCol="0" anchor="ctr" anchorCtr="0"/>
          <a:lstStyle/>
          <a:p>
            <a:r>
              <a:rPr lang="en-US" altLang="ko-KR" sz="1200" b="1">
                <a:solidFill>
                  <a:srgbClr val="FF0000"/>
                </a:solidFill>
                <a:latin typeface="HY견고딕" panose="02030600000101010101" pitchFamily="18" charset="-127"/>
                <a:ea typeface="HY견고딕" panose="02030600000101010101" pitchFamily="18" charset="-127"/>
              </a:rPr>
              <a:t>5</a:t>
            </a:r>
            <a:endParaRPr lang="ko-KR" altLang="en-US" sz="1200" b="1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45990426-B50A-48F6-8947-CE97B3E2AEEB}"/>
              </a:ext>
            </a:extLst>
          </xdr:cNvPr>
          <xdr:cNvSpPr txBox="1"/>
        </xdr:nvSpPr>
        <xdr:spPr>
          <a:xfrm>
            <a:off x="18507075" y="3694154"/>
            <a:ext cx="104775" cy="272454"/>
          </a:xfrm>
          <a:prstGeom prst="rect">
            <a:avLst/>
          </a:prstGeom>
          <a:noFill/>
        </xdr:spPr>
        <xdr:txBody>
          <a:bodyPr vertOverflow="clip" horzOverflow="clip" wrap="square" lIns="0" tIns="0" rIns="0" bIns="0" rtlCol="0" anchor="ctr" anchorCtr="0"/>
          <a:lstStyle/>
          <a:p>
            <a:r>
              <a:rPr lang="en-US" altLang="ko-KR" sz="1200" b="1">
                <a:solidFill>
                  <a:srgbClr val="FF0000"/>
                </a:solidFill>
                <a:latin typeface="HY견고딕" panose="02030600000101010101" pitchFamily="18" charset="-127"/>
                <a:ea typeface="HY견고딕" panose="02030600000101010101" pitchFamily="18" charset="-127"/>
              </a:rPr>
              <a:t>6</a:t>
            </a:r>
            <a:endParaRPr lang="ko-KR" altLang="en-US" sz="1200" b="1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endParaRP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FE87A3C-4C90-4826-9AC2-6E4003D479A9}"/>
              </a:ext>
            </a:extLst>
          </xdr:cNvPr>
          <xdr:cNvSpPr txBox="1"/>
        </xdr:nvSpPr>
        <xdr:spPr>
          <a:xfrm>
            <a:off x="14582775" y="1145079"/>
            <a:ext cx="104775" cy="272454"/>
          </a:xfrm>
          <a:prstGeom prst="rect">
            <a:avLst/>
          </a:prstGeom>
          <a:noFill/>
        </xdr:spPr>
        <xdr:txBody>
          <a:bodyPr vertOverflow="clip" horzOverflow="clip" wrap="square" lIns="0" tIns="0" rIns="0" bIns="0" rtlCol="0" anchor="ctr" anchorCtr="0"/>
          <a:lstStyle/>
          <a:p>
            <a:r>
              <a:rPr lang="en-US" altLang="ko-KR" sz="1200" b="1">
                <a:solidFill>
                  <a:srgbClr val="FF0000"/>
                </a:solidFill>
                <a:latin typeface="HY견고딕" panose="02030600000101010101" pitchFamily="18" charset="-127"/>
                <a:ea typeface="HY견고딕" panose="02030600000101010101" pitchFamily="18" charset="-127"/>
              </a:rPr>
              <a:t>7</a:t>
            </a:r>
            <a:endParaRPr lang="ko-KR" altLang="en-US" sz="1200" b="1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A4F9C82F-0F16-46B9-85F2-72D6EDA48098}"/>
              </a:ext>
            </a:extLst>
          </xdr:cNvPr>
          <xdr:cNvSpPr txBox="1"/>
        </xdr:nvSpPr>
        <xdr:spPr>
          <a:xfrm>
            <a:off x="14611350" y="5480646"/>
            <a:ext cx="104775" cy="272454"/>
          </a:xfrm>
          <a:prstGeom prst="rect">
            <a:avLst/>
          </a:prstGeom>
          <a:noFill/>
        </xdr:spPr>
        <xdr:txBody>
          <a:bodyPr vertOverflow="clip" horzOverflow="clip" wrap="square" lIns="0" tIns="0" rIns="0" bIns="0" rtlCol="0" anchor="ctr" anchorCtr="0"/>
          <a:lstStyle/>
          <a:p>
            <a:r>
              <a:rPr lang="en-US" altLang="ko-KR" sz="1200" b="1">
                <a:solidFill>
                  <a:srgbClr val="FF0000"/>
                </a:solidFill>
                <a:latin typeface="HY견고딕" panose="02030600000101010101" pitchFamily="18" charset="-127"/>
                <a:ea typeface="HY견고딕" panose="02030600000101010101" pitchFamily="18" charset="-127"/>
              </a:rPr>
              <a:t>8</a:t>
            </a:r>
            <a:endParaRPr lang="ko-KR" altLang="en-US" sz="1200" b="1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52049</xdr:rowOff>
    </xdr:from>
    <xdr:to>
      <xdr:col>16</xdr:col>
      <xdr:colOff>221249</xdr:colOff>
      <xdr:row>25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BCD0122-3F43-9D5C-79EF-D7DFFADDF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049"/>
          <a:ext cx="11194049" cy="518670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k heo" refreshedDate="46264.519902430555" createdVersion="8" refreshedVersion="8" minRefreshableVersion="3" recordCount="94" xr:uid="{E54EA069-A569-4870-ACDA-BF2BA0E3B77C}">
  <cacheSource type="worksheet">
    <worksheetSource ref="S2:U96" sheet="Test Result"/>
  </cacheSource>
  <cacheFields count="3">
    <cacheField name="Case Sheet" numFmtId="0">
      <sharedItems count="7">
        <s v="Decision Table Case"/>
        <s v="CheckList Case"/>
        <s v="FieldRule Case"/>
        <s v="E2E Case"/>
        <s v="Positive Case" u="1"/>
        <s v="Negative Case" u="1"/>
        <s v="Edge Case" u="1"/>
      </sharedItems>
    </cacheField>
    <cacheField name="TCID" numFmtId="0">
      <sharedItems/>
    </cacheField>
    <cacheField name="Result" numFmtId="0">
      <sharedItems count="2">
        <s v="Pass"/>
        <s v="Fa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Login_PO_TC1"/>
    <x v="0"/>
  </r>
  <r>
    <x v="0"/>
    <s v="Login_PO_TC2"/>
    <x v="0"/>
  </r>
  <r>
    <x v="0"/>
    <s v="Login_PO_TC3"/>
    <x v="0"/>
  </r>
  <r>
    <x v="0"/>
    <s v="Login_PO_TC4"/>
    <x v="0"/>
  </r>
  <r>
    <x v="0"/>
    <s v="Login_PO_TC5"/>
    <x v="0"/>
  </r>
  <r>
    <x v="0"/>
    <s v="Login_PO_TC6"/>
    <x v="0"/>
  </r>
  <r>
    <x v="0"/>
    <s v="Login_PO_TC7"/>
    <x v="1"/>
  </r>
  <r>
    <x v="0"/>
    <s v="Login_PO_TC8"/>
    <x v="0"/>
  </r>
  <r>
    <x v="0"/>
    <s v="Login_PO_TC9"/>
    <x v="0"/>
  </r>
  <r>
    <x v="0"/>
    <s v="Login_PO_TC10"/>
    <x v="0"/>
  </r>
  <r>
    <x v="0"/>
    <s v="Login_PO_TC11"/>
    <x v="1"/>
  </r>
  <r>
    <x v="0"/>
    <s v="Login_PO_TC12"/>
    <x v="0"/>
  </r>
  <r>
    <x v="0"/>
    <s v="Login_PO_TC13"/>
    <x v="0"/>
  </r>
  <r>
    <x v="0"/>
    <s v="Login_PO_TC14"/>
    <x v="0"/>
  </r>
  <r>
    <x v="0"/>
    <s v="Login_PO_TC15"/>
    <x v="1"/>
  </r>
  <r>
    <x v="0"/>
    <s v="Login_PO_TC16"/>
    <x v="0"/>
  </r>
  <r>
    <x v="0"/>
    <s v="Login_PO_TC17"/>
    <x v="0"/>
  </r>
  <r>
    <x v="0"/>
    <s v="Login_PO_TC18"/>
    <x v="0"/>
  </r>
  <r>
    <x v="0"/>
    <s v="Login_NE_TC1"/>
    <x v="1"/>
  </r>
  <r>
    <x v="0"/>
    <s v="Login_NE_TC2"/>
    <x v="0"/>
  </r>
  <r>
    <x v="0"/>
    <s v="Login_NE_TC3"/>
    <x v="0"/>
  </r>
  <r>
    <x v="0"/>
    <s v="Login_NE_TC4"/>
    <x v="1"/>
  </r>
  <r>
    <x v="0"/>
    <s v="Login_NE_TC5"/>
    <x v="0"/>
  </r>
  <r>
    <x v="0"/>
    <s v="Login_NE_TC6"/>
    <x v="0"/>
  </r>
  <r>
    <x v="0"/>
    <s v="Login_NE_TC7"/>
    <x v="0"/>
  </r>
  <r>
    <x v="0"/>
    <s v="Login_NE_TC8"/>
    <x v="0"/>
  </r>
  <r>
    <x v="0"/>
    <s v="Login_NE_TC9"/>
    <x v="0"/>
  </r>
  <r>
    <x v="0"/>
    <s v="Login_NE_TC10"/>
    <x v="0"/>
  </r>
  <r>
    <x v="0"/>
    <s v="Login_NE_TC11"/>
    <x v="1"/>
  </r>
  <r>
    <x v="0"/>
    <s v="Login_NE_TC12"/>
    <x v="0"/>
  </r>
  <r>
    <x v="0"/>
    <s v="Login_NE_TC13"/>
    <x v="0"/>
  </r>
  <r>
    <x v="0"/>
    <s v="Login_Eg_TC1"/>
    <x v="0"/>
  </r>
  <r>
    <x v="0"/>
    <s v="Login_Eg_TC2"/>
    <x v="0"/>
  </r>
  <r>
    <x v="0"/>
    <s v="Login_Eg_TC3"/>
    <x v="1"/>
  </r>
  <r>
    <x v="0"/>
    <s v="Login_Eg_TC4"/>
    <x v="0"/>
  </r>
  <r>
    <x v="0"/>
    <s v="Login_Eg_TC5"/>
    <x v="0"/>
  </r>
  <r>
    <x v="0"/>
    <s v="Login_Eg_TC6"/>
    <x v="1"/>
  </r>
  <r>
    <x v="0"/>
    <s v="Login_Eg_TC7"/>
    <x v="0"/>
  </r>
  <r>
    <x v="0"/>
    <s v="Login_Eg_TC8"/>
    <x v="0"/>
  </r>
  <r>
    <x v="0"/>
    <s v="Login_Eg_TC9"/>
    <x v="1"/>
  </r>
  <r>
    <x v="1"/>
    <s v="Payment_UI_TC1"/>
    <x v="0"/>
  </r>
  <r>
    <x v="1"/>
    <s v="Payment_UI_TC2"/>
    <x v="0"/>
  </r>
  <r>
    <x v="1"/>
    <s v="Payment_UI_TC3"/>
    <x v="0"/>
  </r>
  <r>
    <x v="1"/>
    <s v="Payment_PO_TC1"/>
    <x v="0"/>
  </r>
  <r>
    <x v="1"/>
    <s v="Payment_PO_TC2"/>
    <x v="0"/>
  </r>
  <r>
    <x v="1"/>
    <s v="Payment_PO_TC3"/>
    <x v="0"/>
  </r>
  <r>
    <x v="1"/>
    <s v="Payment_PO_TC4"/>
    <x v="0"/>
  </r>
  <r>
    <x v="1"/>
    <s v="Payment_NE_TC1"/>
    <x v="0"/>
  </r>
  <r>
    <x v="1"/>
    <s v="Payment_NE_TC2"/>
    <x v="0"/>
  </r>
  <r>
    <x v="1"/>
    <s v="Payment_NE_TC3"/>
    <x v="0"/>
  </r>
  <r>
    <x v="1"/>
    <s v="Payment_NE_TC4"/>
    <x v="0"/>
  </r>
  <r>
    <x v="1"/>
    <s v="Payment_Sec_TC1"/>
    <x v="0"/>
  </r>
  <r>
    <x v="1"/>
    <s v="Payment_Sec_TC2"/>
    <x v="1"/>
  </r>
  <r>
    <x v="1"/>
    <s v="Payment_Sec_TC3"/>
    <x v="0"/>
  </r>
  <r>
    <x v="1"/>
    <s v="Payment_Sec_TC4"/>
    <x v="0"/>
  </r>
  <r>
    <x v="1"/>
    <s v="Payment_Eg_TC1"/>
    <x v="0"/>
  </r>
  <r>
    <x v="1"/>
    <s v="Payment_Eg_TC2"/>
    <x v="0"/>
  </r>
  <r>
    <x v="1"/>
    <s v="Payment_Eg_TC3"/>
    <x v="0"/>
  </r>
  <r>
    <x v="1"/>
    <s v="Payment_Eg_TC4"/>
    <x v="1"/>
  </r>
  <r>
    <x v="1"/>
    <s v="Payment_Eg_TC5"/>
    <x v="1"/>
  </r>
  <r>
    <x v="1"/>
    <s v="Payment_Refund_TC1"/>
    <x v="0"/>
  </r>
  <r>
    <x v="1"/>
    <s v="Payment_Refund_TC2"/>
    <x v="0"/>
  </r>
  <r>
    <x v="1"/>
    <s v="Payment_Refund_TC3"/>
    <x v="0"/>
  </r>
  <r>
    <x v="1"/>
    <s v="Payment_Refund_TC4"/>
    <x v="0"/>
  </r>
  <r>
    <x v="2"/>
    <s v="Login_FieldID1_TC1"/>
    <x v="0"/>
  </r>
  <r>
    <x v="2"/>
    <s v="Login_FieldID2_TC1"/>
    <x v="0"/>
  </r>
  <r>
    <x v="2"/>
    <s v="Login_FieldID2_TC2"/>
    <x v="0"/>
  </r>
  <r>
    <x v="2"/>
    <s v="Login_FieldID2_TC3"/>
    <x v="1"/>
  </r>
  <r>
    <x v="2"/>
    <s v="Login_FieldID2_TC4"/>
    <x v="0"/>
  </r>
  <r>
    <x v="2"/>
    <s v="Login_FieldID3_TC1"/>
    <x v="0"/>
  </r>
  <r>
    <x v="2"/>
    <s v="Login_FieldID3_TC2"/>
    <x v="0"/>
  </r>
  <r>
    <x v="2"/>
    <s v="Login_FieldID3_TC3"/>
    <x v="1"/>
  </r>
  <r>
    <x v="2"/>
    <s v="Login_FieldID3_TC4"/>
    <x v="0"/>
  </r>
  <r>
    <x v="2"/>
    <s v="Login_FieldID3_TC5"/>
    <x v="1"/>
  </r>
  <r>
    <x v="2"/>
    <s v="Login_FieldID4_TC1"/>
    <x v="0"/>
  </r>
  <r>
    <x v="2"/>
    <s v="Login_FieldID4_TC2"/>
    <x v="0"/>
  </r>
  <r>
    <x v="2"/>
    <s v="Login_FieldID4_TC3"/>
    <x v="0"/>
  </r>
  <r>
    <x v="2"/>
    <s v="Login_FieldID4_TC4"/>
    <x v="0"/>
  </r>
  <r>
    <x v="2"/>
    <s v="Login_FieldID4_TC5"/>
    <x v="1"/>
  </r>
  <r>
    <x v="2"/>
    <s v="Login_FieldID5_TC1"/>
    <x v="0"/>
  </r>
  <r>
    <x v="2"/>
    <s v="Login_FieldID5_TC2"/>
    <x v="0"/>
  </r>
  <r>
    <x v="2"/>
    <s v="Login_FieldID5_TC3"/>
    <x v="0"/>
  </r>
  <r>
    <x v="2"/>
    <s v="Login_FieldID5_TC4"/>
    <x v="0"/>
  </r>
  <r>
    <x v="2"/>
    <s v="Login_FieldID5_TC5"/>
    <x v="0"/>
  </r>
  <r>
    <x v="2"/>
    <s v="Login_FieldID6_TC1"/>
    <x v="0"/>
  </r>
  <r>
    <x v="2"/>
    <s v="Login_FieldID6_TC2"/>
    <x v="0"/>
  </r>
  <r>
    <x v="2"/>
    <s v="Login_FieldID6_TC3"/>
    <x v="0"/>
  </r>
  <r>
    <x v="2"/>
    <s v="Login_FieldID6_TC4"/>
    <x v="0"/>
  </r>
  <r>
    <x v="2"/>
    <s v="Login_FieldID6_TC5"/>
    <x v="1"/>
  </r>
  <r>
    <x v="2"/>
    <s v="Login_FieldID7_TC1"/>
    <x v="0"/>
  </r>
  <r>
    <x v="2"/>
    <s v="Login_FieldID7_TC2"/>
    <x v="0"/>
  </r>
  <r>
    <x v="2"/>
    <s v="Login_FieldID8_TC1"/>
    <x v="0"/>
  </r>
  <r>
    <x v="2"/>
    <s v="Login_FieldID8_TC2"/>
    <x v="0"/>
  </r>
  <r>
    <x v="3"/>
    <s v="E2E_Order_Critical_0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DFF61-44ED-449A-9C02-0A4EA28EC071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5">
  <location ref="K22:N28" firstHeaderRow="1" firstDataRow="2" firstDataCol="1"/>
  <pivotFields count="3">
    <pivotField axis="axisRow" showAll="0">
      <items count="8">
        <item m="1" x="6"/>
        <item m="1" x="5"/>
        <item m="1" x="4"/>
        <item x="2"/>
        <item x="3"/>
        <item x="0"/>
        <item x="1"/>
        <item t="default"/>
      </items>
    </pivotField>
    <pivotField showAll="0"/>
    <pivotField axis="axisCol" dataField="1" multipleItemSelectionAllowed="1" showAll="0">
      <items count="3">
        <item x="1"/>
        <item x="0"/>
        <item t="default"/>
      </items>
    </pivotField>
  </pivotFields>
  <rowFields count="1">
    <field x="0"/>
  </rowFields>
  <rowItems count="5">
    <i>
      <x v="3"/>
    </i>
    <i>
      <x v="4"/>
    </i>
    <i>
      <x v="5"/>
    </i>
    <i>
      <x v="6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개수 : Result" fld="2" subtotal="count" baseField="0" baseItem="0"/>
  </dataFields>
  <chartFormats count="3">
    <chartFormat chart="0" format="16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Light Style 1 - Accent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3CD3D-F5F5-4E8E-96B0-CB9235DE1118}">
  <sheetPr>
    <tabColor rgb="FFFFFF00"/>
  </sheetPr>
  <dimension ref="A1:V96"/>
  <sheetViews>
    <sheetView tabSelected="1" topLeftCell="A40" zoomScaleNormal="100" workbookViewId="0">
      <selection activeCell="X74" sqref="X74"/>
    </sheetView>
  </sheetViews>
  <sheetFormatPr defaultRowHeight="16.5"/>
  <cols>
    <col min="1" max="1" width="15.375" bestFit="1" customWidth="1"/>
    <col min="4" max="4" width="4" customWidth="1"/>
    <col min="10" max="10" width="4" customWidth="1"/>
    <col min="11" max="11" width="20.25" bestFit="1" customWidth="1"/>
    <col min="12" max="12" width="11.875" bestFit="1" customWidth="1"/>
    <col min="13" max="13" width="5.625" bestFit="1" customWidth="1"/>
    <col min="14" max="14" width="7.375" bestFit="1" customWidth="1"/>
    <col min="15" max="15" width="19.125" bestFit="1" customWidth="1"/>
    <col min="16" max="16" width="9.625" bestFit="1" customWidth="1"/>
    <col min="17" max="17" width="7.375" bestFit="1" customWidth="1"/>
    <col min="19" max="20" width="18.75" style="131" bestFit="1" customWidth="1"/>
    <col min="21" max="21" width="9.625" style="1" customWidth="1"/>
    <col min="22" max="22" width="11.875" style="1" bestFit="1" customWidth="1"/>
  </cols>
  <sheetData>
    <row r="1" spans="1:22">
      <c r="A1" s="178" t="s">
        <v>142</v>
      </c>
      <c r="B1" s="178"/>
      <c r="C1" s="178"/>
      <c r="S1" s="176" t="s">
        <v>229</v>
      </c>
      <c r="T1" s="176"/>
      <c r="U1" s="176"/>
      <c r="V1" s="176"/>
    </row>
    <row r="2" spans="1:22">
      <c r="A2" s="179" t="s">
        <v>436</v>
      </c>
      <c r="B2" s="31" t="s">
        <v>140</v>
      </c>
      <c r="C2" s="104">
        <f>COUNTIF(S3:S96,"Decision Table Case")</f>
        <v>40</v>
      </c>
      <c r="S2" s="107" t="s">
        <v>230</v>
      </c>
      <c r="T2" s="107" t="s">
        <v>103</v>
      </c>
      <c r="U2" s="107" t="s">
        <v>231</v>
      </c>
      <c r="V2" s="107" t="s">
        <v>161</v>
      </c>
    </row>
    <row r="3" spans="1:22">
      <c r="A3" s="180"/>
      <c r="B3" s="30" t="s">
        <v>139</v>
      </c>
      <c r="C3" s="105">
        <f>COUNTIFS(S:S, "Decision Table Case", U:U, "Pass")</f>
        <v>31</v>
      </c>
      <c r="S3" s="132" t="s">
        <v>440</v>
      </c>
      <c r="T3" s="132" t="s">
        <v>17</v>
      </c>
      <c r="U3" s="92" t="str">
        <f>HLOOKUP(T3,'Decision Table Case'!$D$1:$U$33,33,FALSE)</f>
        <v>Pass</v>
      </c>
      <c r="V3" s="92"/>
    </row>
    <row r="4" spans="1:22">
      <c r="A4" s="180"/>
      <c r="B4" s="2" t="s">
        <v>141</v>
      </c>
      <c r="C4" s="106">
        <f>COUNTIFS(S:S, "Decision Table Case", U:U, "Fail")</f>
        <v>9</v>
      </c>
      <c r="S4" s="132" t="s">
        <v>434</v>
      </c>
      <c r="T4" s="132" t="s">
        <v>32</v>
      </c>
      <c r="U4" s="92" t="str">
        <f>HLOOKUP(T4,'Decision Table Case'!$D$1:$U$33,33,FALSE)</f>
        <v>Pass</v>
      </c>
      <c r="V4" s="92"/>
    </row>
    <row r="5" spans="1:22">
      <c r="A5" s="181" t="s">
        <v>438</v>
      </c>
      <c r="B5" s="31" t="s">
        <v>140</v>
      </c>
      <c r="C5" s="104">
        <f>COUNTIF(S6:S99,"CheckList Case")</f>
        <v>24</v>
      </c>
      <c r="S5" s="132" t="s">
        <v>434</v>
      </c>
      <c r="T5" s="132" t="s">
        <v>33</v>
      </c>
      <c r="U5" s="92" t="str">
        <f>HLOOKUP(T5,'Decision Table Case'!$D$1:$U$33,33,FALSE)</f>
        <v>Pass</v>
      </c>
      <c r="V5" s="92"/>
    </row>
    <row r="6" spans="1:22">
      <c r="A6" s="181"/>
      <c r="B6" s="30" t="s">
        <v>139</v>
      </c>
      <c r="C6" s="105">
        <f>COUNTIFS(S:S, "CheckList Case", U:U, "Pass")</f>
        <v>21</v>
      </c>
      <c r="S6" s="132" t="s">
        <v>434</v>
      </c>
      <c r="T6" s="132" t="s">
        <v>34</v>
      </c>
      <c r="U6" s="92" t="str">
        <f>HLOOKUP(T6,'Decision Table Case'!$D$1:$U$33,33,FALSE)</f>
        <v>Pass</v>
      </c>
      <c r="V6" s="92"/>
    </row>
    <row r="7" spans="1:22">
      <c r="A7" s="181"/>
      <c r="B7" s="2" t="s">
        <v>141</v>
      </c>
      <c r="C7" s="106">
        <f>COUNTIFS(S:S, "CheckList Case", U:U, "Fail")</f>
        <v>3</v>
      </c>
      <c r="S7" s="132" t="s">
        <v>434</v>
      </c>
      <c r="T7" s="132" t="s">
        <v>35</v>
      </c>
      <c r="U7" s="92" t="str">
        <f>HLOOKUP(T7,'Decision Table Case'!$D$1:$U$33,33,FALSE)</f>
        <v>Pass</v>
      </c>
      <c r="V7" s="92"/>
    </row>
    <row r="8" spans="1:22">
      <c r="A8" s="182" t="s">
        <v>233</v>
      </c>
      <c r="B8" s="31" t="s">
        <v>140</v>
      </c>
      <c r="C8" s="104">
        <f>COUNTIF(S9:S102,"FieldRule Case")</f>
        <v>29</v>
      </c>
      <c r="S8" s="132" t="s">
        <v>434</v>
      </c>
      <c r="T8" s="132" t="s">
        <v>36</v>
      </c>
      <c r="U8" s="92" t="str">
        <f>HLOOKUP(T8,'Decision Table Case'!$D$1:$U$33,33,FALSE)</f>
        <v>Pass</v>
      </c>
      <c r="V8" s="92"/>
    </row>
    <row r="9" spans="1:22">
      <c r="A9" s="182"/>
      <c r="B9" s="30" t="s">
        <v>139</v>
      </c>
      <c r="C9" s="105">
        <f>COUNTIFS(S:S, "FieldRule Case", U:U, "Pass")</f>
        <v>24</v>
      </c>
      <c r="S9" s="132" t="s">
        <v>434</v>
      </c>
      <c r="T9" s="132" t="s">
        <v>37</v>
      </c>
      <c r="U9" s="92" t="str">
        <f>HLOOKUP(T9,'Decision Table Case'!$D$1:$U$33,33,FALSE)</f>
        <v>Fail</v>
      </c>
      <c r="V9" s="91"/>
    </row>
    <row r="10" spans="1:22">
      <c r="A10" s="182"/>
      <c r="B10" s="2" t="s">
        <v>141</v>
      </c>
      <c r="C10" s="106">
        <f>COUNTIFS(S:S, "FieldRule Case", U:U, "Fail")</f>
        <v>5</v>
      </c>
      <c r="S10" s="132" t="s">
        <v>434</v>
      </c>
      <c r="T10" s="132" t="s">
        <v>38</v>
      </c>
      <c r="U10" s="92" t="str">
        <f>HLOOKUP(T10,'Decision Table Case'!$D$1:$U$33,33,FALSE)</f>
        <v>Pass</v>
      </c>
      <c r="V10" s="92"/>
    </row>
    <row r="11" spans="1:22">
      <c r="A11" s="183" t="s">
        <v>439</v>
      </c>
      <c r="B11" s="31" t="s">
        <v>140</v>
      </c>
      <c r="C11" s="104">
        <f>COUNTIF(S12:S105,"E2E Case")</f>
        <v>1</v>
      </c>
      <c r="S11" s="132" t="s">
        <v>434</v>
      </c>
      <c r="T11" s="132" t="s">
        <v>39</v>
      </c>
      <c r="U11" s="92" t="str">
        <f>HLOOKUP(T11,'Decision Table Case'!$D$1:$U$33,33,FALSE)</f>
        <v>Pass</v>
      </c>
      <c r="V11" s="92"/>
    </row>
    <row r="12" spans="1:22">
      <c r="A12" s="183"/>
      <c r="B12" s="30" t="s">
        <v>139</v>
      </c>
      <c r="C12" s="105">
        <f>COUNTIFS(S:S, "E2E Case", U:U, "Pass")</f>
        <v>1</v>
      </c>
      <c r="S12" s="132" t="s">
        <v>434</v>
      </c>
      <c r="T12" s="132" t="s">
        <v>40</v>
      </c>
      <c r="U12" s="92" t="str">
        <f>HLOOKUP(T12,'Decision Table Case'!$D$1:$U$33,33,FALSE)</f>
        <v>Pass</v>
      </c>
      <c r="V12" s="92"/>
    </row>
    <row r="13" spans="1:22">
      <c r="A13" s="183"/>
      <c r="B13" s="2" t="s">
        <v>141</v>
      </c>
      <c r="C13" s="106">
        <f>COUNTIFS(S:S, "E2E Casee", U:U, "Fail")</f>
        <v>0</v>
      </c>
      <c r="S13" s="132" t="s">
        <v>434</v>
      </c>
      <c r="T13" s="132" t="s">
        <v>41</v>
      </c>
      <c r="U13" s="92" t="str">
        <f>HLOOKUP(T13,'Decision Table Case'!$D$1:$U$33,33,FALSE)</f>
        <v>Fail</v>
      </c>
      <c r="V13" s="91"/>
    </row>
    <row r="14" spans="1:22">
      <c r="A14" s="178" t="s">
        <v>140</v>
      </c>
      <c r="B14" s="27" t="s">
        <v>140</v>
      </c>
      <c r="C14" s="27">
        <f>SUM(C2,C5,C8,C11)</f>
        <v>94</v>
      </c>
      <c r="S14" s="132" t="s">
        <v>434</v>
      </c>
      <c r="T14" s="132" t="s">
        <v>42</v>
      </c>
      <c r="U14" s="92" t="str">
        <f>HLOOKUP(T14,'Decision Table Case'!$D$1:$U$33,33,FALSE)</f>
        <v>Pass</v>
      </c>
      <c r="V14" s="92"/>
    </row>
    <row r="15" spans="1:22">
      <c r="A15" s="178"/>
      <c r="B15" s="29" t="s">
        <v>139</v>
      </c>
      <c r="C15" s="29">
        <f>SUM(C3,C6,C9,C12)</f>
        <v>77</v>
      </c>
      <c r="S15" s="132" t="s">
        <v>434</v>
      </c>
      <c r="T15" s="132" t="s">
        <v>43</v>
      </c>
      <c r="U15" s="92" t="str">
        <f>HLOOKUP(T15,'Decision Table Case'!$D$1:$U$33,33,FALSE)</f>
        <v>Pass</v>
      </c>
      <c r="V15" s="92"/>
    </row>
    <row r="16" spans="1:22">
      <c r="A16" s="178"/>
      <c r="B16" s="28" t="s">
        <v>141</v>
      </c>
      <c r="C16" s="28">
        <f>SUM(C4,C7,C10,C13)</f>
        <v>17</v>
      </c>
      <c r="S16" s="132" t="s">
        <v>434</v>
      </c>
      <c r="T16" s="132" t="s">
        <v>44</v>
      </c>
      <c r="U16" s="92" t="str">
        <f>HLOOKUP(T16,'Decision Table Case'!$D$1:$U$33,33,FALSE)</f>
        <v>Pass</v>
      </c>
      <c r="V16" s="92"/>
    </row>
    <row r="17" spans="11:22">
      <c r="S17" s="132" t="s">
        <v>434</v>
      </c>
      <c r="T17" s="132" t="s">
        <v>45</v>
      </c>
      <c r="U17" s="92" t="str">
        <f>HLOOKUP(T17,'Decision Table Case'!$D$1:$U$33,33,FALSE)</f>
        <v>Fail</v>
      </c>
      <c r="V17" s="91"/>
    </row>
    <row r="18" spans="11:22">
      <c r="S18" s="132" t="s">
        <v>434</v>
      </c>
      <c r="T18" s="132" t="s">
        <v>46</v>
      </c>
      <c r="U18" s="92" t="str">
        <f>HLOOKUP(T18,'Decision Table Case'!$D$1:$U$33,33,FALSE)</f>
        <v>Pass</v>
      </c>
      <c r="V18" s="92"/>
    </row>
    <row r="19" spans="11:22">
      <c r="S19" s="132" t="s">
        <v>434</v>
      </c>
      <c r="T19" s="132" t="s">
        <v>47</v>
      </c>
      <c r="U19" s="92" t="str">
        <f>HLOOKUP(T19,'Decision Table Case'!$D$1:$U$33,33,FALSE)</f>
        <v>Pass</v>
      </c>
      <c r="V19" s="92"/>
    </row>
    <row r="20" spans="11:22">
      <c r="S20" s="132" t="s">
        <v>434</v>
      </c>
      <c r="T20" s="132" t="s">
        <v>70</v>
      </c>
      <c r="U20" s="92" t="str">
        <f>HLOOKUP(T20,'Decision Table Case'!$D$1:$U$33,33,FALSE)</f>
        <v>Pass</v>
      </c>
      <c r="V20" s="92"/>
    </row>
    <row r="21" spans="11:22">
      <c r="K21" s="177" t="s">
        <v>237</v>
      </c>
      <c r="L21" s="177"/>
      <c r="S21" s="132" t="s">
        <v>434</v>
      </c>
      <c r="T21" s="132" t="s">
        <v>59</v>
      </c>
      <c r="U21" s="92" t="str">
        <f>HLOOKUP(T21,'Decision Table Case'!$D$36:$P$69,34,FALSE)</f>
        <v>Fail</v>
      </c>
      <c r="V21" s="91" t="s">
        <v>160</v>
      </c>
    </row>
    <row r="22" spans="11:22">
      <c r="K22" s="134" t="s">
        <v>236</v>
      </c>
      <c r="L22" s="134" t="s">
        <v>318</v>
      </c>
      <c r="S22" s="132" t="s">
        <v>434</v>
      </c>
      <c r="T22" s="132" t="s">
        <v>60</v>
      </c>
      <c r="U22" s="92" t="str">
        <f>HLOOKUP(T22,'Decision Table Case'!$D$36:$P$69,34,FALSE)</f>
        <v>Pass</v>
      </c>
      <c r="V22" s="92"/>
    </row>
    <row r="23" spans="11:22">
      <c r="K23" s="134" t="s">
        <v>234</v>
      </c>
      <c r="L23" t="s">
        <v>137</v>
      </c>
      <c r="M23" t="s">
        <v>136</v>
      </c>
      <c r="N23" t="s">
        <v>235</v>
      </c>
      <c r="S23" s="132" t="s">
        <v>434</v>
      </c>
      <c r="T23" s="132" t="s">
        <v>61</v>
      </c>
      <c r="U23" s="92" t="str">
        <f>HLOOKUP(T23,'Decision Table Case'!$D$36:$P$69,34,FALSE)</f>
        <v>Pass</v>
      </c>
      <c r="V23" s="92"/>
    </row>
    <row r="24" spans="11:22">
      <c r="K24" s="131" t="s">
        <v>232</v>
      </c>
      <c r="L24">
        <v>5</v>
      </c>
      <c r="M24">
        <v>24</v>
      </c>
      <c r="N24">
        <v>29</v>
      </c>
      <c r="S24" s="132" t="s">
        <v>434</v>
      </c>
      <c r="T24" s="132" t="s">
        <v>62</v>
      </c>
      <c r="U24" s="92" t="str">
        <f>HLOOKUP(T24,'Decision Table Case'!$D$36:$P$69,34,FALSE)</f>
        <v>Fail</v>
      </c>
      <c r="V24" s="92"/>
    </row>
    <row r="25" spans="11:22">
      <c r="K25" s="131" t="s">
        <v>316</v>
      </c>
      <c r="M25">
        <v>1</v>
      </c>
      <c r="N25">
        <v>1</v>
      </c>
      <c r="S25" s="132" t="s">
        <v>434</v>
      </c>
      <c r="T25" s="132" t="s">
        <v>63</v>
      </c>
      <c r="U25" s="92" t="str">
        <f>HLOOKUP(T25,'Decision Table Case'!$D$36:$P$69,34,FALSE)</f>
        <v>Pass</v>
      </c>
      <c r="V25" s="92"/>
    </row>
    <row r="26" spans="11:22">
      <c r="K26" s="131" t="s">
        <v>434</v>
      </c>
      <c r="L26">
        <v>9</v>
      </c>
      <c r="M26">
        <v>31</v>
      </c>
      <c r="N26">
        <v>40</v>
      </c>
      <c r="S26" s="132" t="s">
        <v>434</v>
      </c>
      <c r="T26" s="132" t="s">
        <v>64</v>
      </c>
      <c r="U26" s="92" t="str">
        <f>HLOOKUP(T26,'Decision Table Case'!$D$36:$P$69,34,FALSE)</f>
        <v>Pass</v>
      </c>
      <c r="V26" s="92"/>
    </row>
    <row r="27" spans="11:22">
      <c r="K27" s="131" t="s">
        <v>435</v>
      </c>
      <c r="L27">
        <v>3</v>
      </c>
      <c r="M27">
        <v>21</v>
      </c>
      <c r="N27">
        <v>24</v>
      </c>
      <c r="S27" s="132" t="s">
        <v>434</v>
      </c>
      <c r="T27" s="132" t="s">
        <v>65</v>
      </c>
      <c r="U27" s="92" t="str">
        <f>HLOOKUP(T27,'Decision Table Case'!$D$36:$P$69,34,FALSE)</f>
        <v>Pass</v>
      </c>
      <c r="V27" s="92"/>
    </row>
    <row r="28" spans="11:22">
      <c r="K28" s="131" t="s">
        <v>235</v>
      </c>
      <c r="L28">
        <v>17</v>
      </c>
      <c r="M28">
        <v>77</v>
      </c>
      <c r="N28">
        <v>94</v>
      </c>
      <c r="S28" s="132" t="s">
        <v>434</v>
      </c>
      <c r="T28" s="132" t="s">
        <v>66</v>
      </c>
      <c r="U28" s="92" t="str">
        <f>HLOOKUP(T28,'Decision Table Case'!$D$36:$P$69,34,FALSE)</f>
        <v>Pass</v>
      </c>
      <c r="V28" s="92"/>
    </row>
    <row r="29" spans="11:22">
      <c r="S29" s="132" t="s">
        <v>434</v>
      </c>
      <c r="T29" s="132" t="s">
        <v>186</v>
      </c>
      <c r="U29" s="92" t="str">
        <f>HLOOKUP(T29,'Decision Table Case'!$D$36:$P$69,34,FALSE)</f>
        <v>Pass</v>
      </c>
      <c r="V29" s="92"/>
    </row>
    <row r="30" spans="11:22">
      <c r="S30" s="132" t="s">
        <v>434</v>
      </c>
      <c r="T30" s="132" t="s">
        <v>187</v>
      </c>
      <c r="U30" s="92" t="str">
        <f>HLOOKUP(T30,'Decision Table Case'!$D$36:$P$69,34,FALSE)</f>
        <v>Pass</v>
      </c>
      <c r="V30" s="92"/>
    </row>
    <row r="31" spans="11:22">
      <c r="S31" s="132" t="s">
        <v>434</v>
      </c>
      <c r="T31" s="132" t="s">
        <v>67</v>
      </c>
      <c r="U31" s="92" t="str">
        <f>HLOOKUP(T31,'Decision Table Case'!$D$36:$P$69,34,FALSE)</f>
        <v>Fail</v>
      </c>
      <c r="V31" s="92"/>
    </row>
    <row r="32" spans="11:22">
      <c r="S32" s="132" t="s">
        <v>434</v>
      </c>
      <c r="T32" s="132" t="s">
        <v>68</v>
      </c>
      <c r="U32" s="92" t="str">
        <f>HLOOKUP(T32,'Decision Table Case'!$D$36:$P$69,34,FALSE)</f>
        <v>Pass</v>
      </c>
      <c r="V32" s="92"/>
    </row>
    <row r="33" spans="19:22">
      <c r="S33" s="132" t="s">
        <v>434</v>
      </c>
      <c r="T33" s="132" t="s">
        <v>69</v>
      </c>
      <c r="U33" s="92" t="str">
        <f>HLOOKUP(T33,'Decision Table Case'!$D$36:$P$69,34,FALSE)</f>
        <v>Pass</v>
      </c>
      <c r="V33" s="92"/>
    </row>
    <row r="34" spans="19:22">
      <c r="S34" s="132" t="s">
        <v>434</v>
      </c>
      <c r="T34" s="132" t="s">
        <v>90</v>
      </c>
      <c r="U34" s="92" t="str">
        <f>HLOOKUP(T34,'Decision Table Case'!$D$72:$L$95,24,FALSE)</f>
        <v>Pass</v>
      </c>
      <c r="V34" s="92"/>
    </row>
    <row r="35" spans="19:22">
      <c r="S35" s="132" t="s">
        <v>434</v>
      </c>
      <c r="T35" s="132" t="s">
        <v>91</v>
      </c>
      <c r="U35" s="92" t="str">
        <f>HLOOKUP(T35,'Decision Table Case'!$D$72:$L$95,24,FALSE)</f>
        <v>Pass</v>
      </c>
      <c r="V35" s="92"/>
    </row>
    <row r="36" spans="19:22">
      <c r="S36" s="132" t="s">
        <v>434</v>
      </c>
      <c r="T36" s="132" t="s">
        <v>92</v>
      </c>
      <c r="U36" s="92" t="str">
        <f>HLOOKUP(T36,'Decision Table Case'!$D$72:$L$95,24,FALSE)</f>
        <v>Fail</v>
      </c>
      <c r="V36" s="91"/>
    </row>
    <row r="37" spans="19:22">
      <c r="S37" s="132" t="s">
        <v>434</v>
      </c>
      <c r="T37" s="132" t="s">
        <v>93</v>
      </c>
      <c r="U37" s="92" t="str">
        <f>HLOOKUP(T37,'Decision Table Case'!$D$72:$L$95,24,FALSE)</f>
        <v>Pass</v>
      </c>
      <c r="V37" s="92"/>
    </row>
    <row r="38" spans="19:22">
      <c r="S38" s="132" t="s">
        <v>434</v>
      </c>
      <c r="T38" s="132" t="s">
        <v>94</v>
      </c>
      <c r="U38" s="92" t="str">
        <f>HLOOKUP(T38,'Decision Table Case'!$D$72:$L$95,24,FALSE)</f>
        <v>Pass</v>
      </c>
      <c r="V38" s="92"/>
    </row>
    <row r="39" spans="19:22">
      <c r="S39" s="132" t="s">
        <v>434</v>
      </c>
      <c r="T39" s="132" t="s">
        <v>95</v>
      </c>
      <c r="U39" s="92" t="str">
        <f>HLOOKUP(T39,'Decision Table Case'!$D$72:$L$95,24,FALSE)</f>
        <v>Fail</v>
      </c>
      <c r="V39" s="92"/>
    </row>
    <row r="40" spans="19:22">
      <c r="S40" s="132" t="s">
        <v>434</v>
      </c>
      <c r="T40" s="132" t="s">
        <v>96</v>
      </c>
      <c r="U40" s="92" t="str">
        <f>HLOOKUP(T40,'Decision Table Case'!$D$72:$L$95,24,FALSE)</f>
        <v>Pass</v>
      </c>
      <c r="V40" s="92"/>
    </row>
    <row r="41" spans="19:22">
      <c r="S41" s="132" t="s">
        <v>434</v>
      </c>
      <c r="T41" s="132" t="s">
        <v>97</v>
      </c>
      <c r="U41" s="92" t="str">
        <f>HLOOKUP(T41,'Decision Table Case'!$D$72:$L$95,24,FALSE)</f>
        <v>Pass</v>
      </c>
      <c r="V41" s="92"/>
    </row>
    <row r="42" spans="19:22">
      <c r="S42" s="132" t="s">
        <v>434</v>
      </c>
      <c r="T42" s="132" t="s">
        <v>98</v>
      </c>
      <c r="U42" s="92" t="str">
        <f>HLOOKUP(T42,'Decision Table Case'!$D$72:$L$95,24,FALSE)</f>
        <v>Fail</v>
      </c>
      <c r="V42" s="92"/>
    </row>
    <row r="43" spans="19:22">
      <c r="S43" s="132" t="s">
        <v>437</v>
      </c>
      <c r="T43" s="167" t="s">
        <v>331</v>
      </c>
      <c r="U43" s="92" t="str">
        <f>VLOOKUP(T43,'CheckList Case'!C3:H26,6,FALSE)</f>
        <v>Pass</v>
      </c>
      <c r="V43" s="92"/>
    </row>
    <row r="44" spans="19:22">
      <c r="S44" s="132" t="s">
        <v>437</v>
      </c>
      <c r="T44" s="167" t="s">
        <v>428</v>
      </c>
      <c r="U44" s="92" t="str">
        <f>VLOOKUP(T44,'CheckList Case'!C4:H27,6,FALSE)</f>
        <v>Pass</v>
      </c>
      <c r="V44" s="92"/>
    </row>
    <row r="45" spans="19:22">
      <c r="S45" s="133" t="s">
        <v>435</v>
      </c>
      <c r="T45" s="167" t="s">
        <v>340</v>
      </c>
      <c r="U45" s="92" t="str">
        <f>VLOOKUP(T45,'CheckList Case'!C5:H28,6,FALSE)</f>
        <v>Pass</v>
      </c>
      <c r="V45" s="92"/>
    </row>
    <row r="46" spans="19:22">
      <c r="S46" s="133" t="s">
        <v>435</v>
      </c>
      <c r="T46" s="167" t="s">
        <v>345</v>
      </c>
      <c r="U46" s="92" t="str">
        <f>VLOOKUP(T46,'CheckList Case'!C6:H29,6,FALSE)</f>
        <v>Pass</v>
      </c>
      <c r="V46" s="92"/>
    </row>
    <row r="47" spans="19:22">
      <c r="S47" s="133" t="s">
        <v>435</v>
      </c>
      <c r="T47" s="167" t="s">
        <v>350</v>
      </c>
      <c r="U47" s="92" t="str">
        <f>VLOOKUP(T47,'CheckList Case'!C7:H30,6,FALSE)</f>
        <v>Pass</v>
      </c>
      <c r="V47" s="92"/>
    </row>
    <row r="48" spans="19:22">
      <c r="S48" s="133" t="s">
        <v>435</v>
      </c>
      <c r="T48" s="167" t="s">
        <v>354</v>
      </c>
      <c r="U48" s="92" t="str">
        <f>VLOOKUP(T48,'CheckList Case'!C8:H31,6,FALSE)</f>
        <v>Pass</v>
      </c>
      <c r="V48" s="92"/>
    </row>
    <row r="49" spans="19:22">
      <c r="S49" s="133" t="s">
        <v>435</v>
      </c>
      <c r="T49" s="167" t="s">
        <v>357</v>
      </c>
      <c r="U49" s="92" t="str">
        <f>VLOOKUP(T49,'CheckList Case'!C9:H32,6,FALSE)</f>
        <v>Pass</v>
      </c>
      <c r="V49" s="92"/>
    </row>
    <row r="50" spans="19:22">
      <c r="S50" s="133" t="s">
        <v>435</v>
      </c>
      <c r="T50" s="167" t="s">
        <v>361</v>
      </c>
      <c r="U50" s="92" t="str">
        <f>VLOOKUP(T50,'CheckList Case'!C10:H33,6,FALSE)</f>
        <v>Pass</v>
      </c>
      <c r="V50" s="92"/>
    </row>
    <row r="51" spans="19:22">
      <c r="S51" s="133" t="s">
        <v>435</v>
      </c>
      <c r="T51" s="167" t="s">
        <v>365</v>
      </c>
      <c r="U51" s="92" t="str">
        <f>VLOOKUP(T51,'CheckList Case'!C11:H34,6,FALSE)</f>
        <v>Pass</v>
      </c>
      <c r="V51" s="92"/>
    </row>
    <row r="52" spans="19:22">
      <c r="S52" s="133" t="s">
        <v>435</v>
      </c>
      <c r="T52" s="167" t="s">
        <v>368</v>
      </c>
      <c r="U52" s="92" t="str">
        <f>VLOOKUP(T52,'CheckList Case'!C12:H35,6,FALSE)</f>
        <v>Pass</v>
      </c>
      <c r="V52" s="92"/>
    </row>
    <row r="53" spans="19:22">
      <c r="S53" s="133" t="s">
        <v>435</v>
      </c>
      <c r="T53" s="167" t="s">
        <v>371</v>
      </c>
      <c r="U53" s="92" t="str">
        <f>VLOOKUP(T53,'CheckList Case'!C13:H36,6,FALSE)</f>
        <v>Pass</v>
      </c>
      <c r="V53" s="92"/>
    </row>
    <row r="54" spans="19:22">
      <c r="S54" s="133" t="s">
        <v>435</v>
      </c>
      <c r="T54" s="167" t="s">
        <v>376</v>
      </c>
      <c r="U54" s="92" t="str">
        <f>VLOOKUP(T54,'CheckList Case'!C14:H37,6,FALSE)</f>
        <v>Pass</v>
      </c>
      <c r="V54" s="92"/>
    </row>
    <row r="55" spans="19:22">
      <c r="S55" s="133" t="s">
        <v>435</v>
      </c>
      <c r="T55" s="167" t="s">
        <v>382</v>
      </c>
      <c r="U55" s="92" t="str">
        <f>VLOOKUP(T55,'CheckList Case'!C15:H38,6,FALSE)</f>
        <v>Fail</v>
      </c>
      <c r="V55" s="92"/>
    </row>
    <row r="56" spans="19:22">
      <c r="S56" s="133" t="s">
        <v>435</v>
      </c>
      <c r="T56" s="167" t="s">
        <v>385</v>
      </c>
      <c r="U56" s="92" t="str">
        <f>VLOOKUP(T56,'CheckList Case'!C16:H39,6,FALSE)</f>
        <v>Pass</v>
      </c>
      <c r="V56" s="92"/>
    </row>
    <row r="57" spans="19:22">
      <c r="S57" s="133" t="s">
        <v>435</v>
      </c>
      <c r="T57" s="167" t="s">
        <v>389</v>
      </c>
      <c r="U57" s="92" t="str">
        <f>VLOOKUP(T57,'CheckList Case'!C17:H40,6,FALSE)</f>
        <v>Pass</v>
      </c>
      <c r="V57" s="92"/>
    </row>
    <row r="58" spans="19:22">
      <c r="S58" s="133" t="s">
        <v>435</v>
      </c>
      <c r="T58" s="167" t="s">
        <v>393</v>
      </c>
      <c r="U58" s="92" t="str">
        <f>VLOOKUP(T58,'CheckList Case'!C18:H41,6,FALSE)</f>
        <v>Pass</v>
      </c>
      <c r="V58" s="92"/>
    </row>
    <row r="59" spans="19:22">
      <c r="S59" s="133" t="s">
        <v>435</v>
      </c>
      <c r="T59" s="167" t="s">
        <v>397</v>
      </c>
      <c r="U59" s="92" t="str">
        <f>VLOOKUP(T59,'CheckList Case'!C19:H42,6,FALSE)</f>
        <v>Pass</v>
      </c>
      <c r="V59" s="92"/>
    </row>
    <row r="60" spans="19:22">
      <c r="S60" s="133" t="s">
        <v>435</v>
      </c>
      <c r="T60" s="167" t="s">
        <v>400</v>
      </c>
      <c r="U60" s="92" t="str">
        <f>VLOOKUP(T60,'CheckList Case'!C20:H43,6,FALSE)</f>
        <v>Pass</v>
      </c>
      <c r="V60" s="92"/>
    </row>
    <row r="61" spans="19:22">
      <c r="S61" s="133" t="s">
        <v>435</v>
      </c>
      <c r="T61" s="167" t="s">
        <v>404</v>
      </c>
      <c r="U61" s="92" t="str">
        <f>VLOOKUP(T61,'CheckList Case'!C21:H44,6,FALSE)</f>
        <v>Fail</v>
      </c>
      <c r="V61" s="92"/>
    </row>
    <row r="62" spans="19:22">
      <c r="S62" s="133" t="s">
        <v>435</v>
      </c>
      <c r="T62" s="167" t="s">
        <v>408</v>
      </c>
      <c r="U62" s="92" t="str">
        <f>VLOOKUP(T62,'CheckList Case'!C22:H45,6,FALSE)</f>
        <v>Fail</v>
      </c>
      <c r="V62" s="91" t="s">
        <v>462</v>
      </c>
    </row>
    <row r="63" spans="19:22">
      <c r="S63" s="133" t="s">
        <v>435</v>
      </c>
      <c r="T63" s="279" t="s">
        <v>410</v>
      </c>
      <c r="U63" s="92" t="str">
        <f>VLOOKUP(T63,'CheckList Case'!C23:H46,6,FALSE)</f>
        <v>Pass</v>
      </c>
      <c r="V63" s="92"/>
    </row>
    <row r="64" spans="19:22">
      <c r="S64" s="133" t="s">
        <v>435</v>
      </c>
      <c r="T64" s="279" t="s">
        <v>414</v>
      </c>
      <c r="U64" s="92" t="str">
        <f>VLOOKUP(T64,'CheckList Case'!C24:H47,6,FALSE)</f>
        <v>Pass</v>
      </c>
      <c r="V64" s="92"/>
    </row>
    <row r="65" spans="19:22">
      <c r="S65" s="133" t="s">
        <v>435</v>
      </c>
      <c r="T65" s="279" t="s">
        <v>418</v>
      </c>
      <c r="U65" s="92" t="str">
        <f>VLOOKUP(T65,'CheckList Case'!C25:H48,6,FALSE)</f>
        <v>Pass</v>
      </c>
      <c r="V65" s="92"/>
    </row>
    <row r="66" spans="19:22">
      <c r="S66" s="133" t="s">
        <v>435</v>
      </c>
      <c r="T66" s="279" t="s">
        <v>422</v>
      </c>
      <c r="U66" s="92" t="str">
        <f>VLOOKUP(T66,'CheckList Case'!C26:H49,6,FALSE)</f>
        <v>Pass</v>
      </c>
      <c r="V66" s="92"/>
    </row>
    <row r="67" spans="19:22">
      <c r="S67" s="132" t="s">
        <v>232</v>
      </c>
      <c r="T67" s="133" t="s">
        <v>162</v>
      </c>
      <c r="U67" s="92" t="str">
        <f>VLOOKUP(T67,'FieldRule Case'!$B$3:$I$31,8,FALSE)</f>
        <v>Pass</v>
      </c>
      <c r="V67" s="92"/>
    </row>
    <row r="68" spans="19:22">
      <c r="S68" s="132" t="s">
        <v>232</v>
      </c>
      <c r="T68" s="133" t="s">
        <v>163</v>
      </c>
      <c r="U68" s="92" t="str">
        <f>VLOOKUP(T68,'FieldRule Case'!$B$3:$I$31,8,FALSE)</f>
        <v>Pass</v>
      </c>
      <c r="V68" s="92"/>
    </row>
    <row r="69" spans="19:22">
      <c r="S69" s="132" t="s">
        <v>232</v>
      </c>
      <c r="T69" s="133" t="s">
        <v>164</v>
      </c>
      <c r="U69" s="92" t="str">
        <f>VLOOKUP(T69,'FieldRule Case'!$B$3:$I$31,8,FALSE)</f>
        <v>Pass</v>
      </c>
      <c r="V69" s="92"/>
    </row>
    <row r="70" spans="19:22">
      <c r="S70" s="132" t="s">
        <v>232</v>
      </c>
      <c r="T70" s="133" t="s">
        <v>217</v>
      </c>
      <c r="U70" s="92" t="str">
        <f>VLOOKUP(T70,'FieldRule Case'!$B$3:$I$31,8,FALSE)</f>
        <v>Fail</v>
      </c>
      <c r="V70" s="91"/>
    </row>
    <row r="71" spans="19:22">
      <c r="S71" s="132" t="s">
        <v>232</v>
      </c>
      <c r="T71" s="133" t="s">
        <v>218</v>
      </c>
      <c r="U71" s="92" t="str">
        <f>VLOOKUP(T71,'FieldRule Case'!$B$3:$I$31,8,FALSE)</f>
        <v>Pass</v>
      </c>
      <c r="V71" s="92"/>
    </row>
    <row r="72" spans="19:22">
      <c r="S72" s="132" t="s">
        <v>232</v>
      </c>
      <c r="T72" s="133" t="s">
        <v>165</v>
      </c>
      <c r="U72" s="92" t="str">
        <f>VLOOKUP(T72,'FieldRule Case'!$B$3:$I$31,8,FALSE)</f>
        <v>Pass</v>
      </c>
      <c r="V72" s="92"/>
    </row>
    <row r="73" spans="19:22">
      <c r="S73" s="132" t="s">
        <v>232</v>
      </c>
      <c r="T73" s="133" t="s">
        <v>166</v>
      </c>
      <c r="U73" s="92" t="str">
        <f>VLOOKUP(T73,'FieldRule Case'!$B$3:$I$31,8,FALSE)</f>
        <v>Pass</v>
      </c>
      <c r="V73" s="92"/>
    </row>
    <row r="74" spans="19:22">
      <c r="S74" s="132" t="s">
        <v>232</v>
      </c>
      <c r="T74" s="133" t="s">
        <v>219</v>
      </c>
      <c r="U74" s="92" t="str">
        <f>VLOOKUP(T74,'FieldRule Case'!$B$3:$I$31,8,FALSE)</f>
        <v>Fail</v>
      </c>
      <c r="V74" s="91"/>
    </row>
    <row r="75" spans="19:22">
      <c r="S75" s="132" t="s">
        <v>232</v>
      </c>
      <c r="T75" s="133" t="s">
        <v>220</v>
      </c>
      <c r="U75" s="92" t="str">
        <f>VLOOKUP(T75,'FieldRule Case'!$B$3:$I$31,8,FALSE)</f>
        <v>Pass</v>
      </c>
      <c r="V75" s="92"/>
    </row>
    <row r="76" spans="19:22">
      <c r="S76" s="132" t="s">
        <v>232</v>
      </c>
      <c r="T76" s="133" t="s">
        <v>221</v>
      </c>
      <c r="U76" s="92" t="str">
        <f>VLOOKUP(T76,'FieldRule Case'!$B$3:$I$31,8,FALSE)</f>
        <v>Fail</v>
      </c>
      <c r="V76" s="91" t="s">
        <v>463</v>
      </c>
    </row>
    <row r="77" spans="19:22">
      <c r="S77" s="132" t="s">
        <v>232</v>
      </c>
      <c r="T77" s="133" t="s">
        <v>167</v>
      </c>
      <c r="U77" s="92" t="str">
        <f>VLOOKUP(T77,'FieldRule Case'!$B$3:$I$31,8,FALSE)</f>
        <v>Pass</v>
      </c>
      <c r="V77" s="92"/>
    </row>
    <row r="78" spans="19:22">
      <c r="S78" s="132" t="s">
        <v>233</v>
      </c>
      <c r="T78" s="133" t="s">
        <v>168</v>
      </c>
      <c r="U78" s="92" t="str">
        <f>VLOOKUP(T78,'FieldRule Case'!$B$3:$I$31,8,FALSE)</f>
        <v>Pass</v>
      </c>
      <c r="V78" s="92"/>
    </row>
    <row r="79" spans="19:22">
      <c r="S79" s="132" t="s">
        <v>232</v>
      </c>
      <c r="T79" s="133" t="s">
        <v>169</v>
      </c>
      <c r="U79" s="92" t="str">
        <f>VLOOKUP(T79,'FieldRule Case'!$B$3:$I$31,8,FALSE)</f>
        <v>Pass</v>
      </c>
      <c r="V79" s="92"/>
    </row>
    <row r="80" spans="19:22">
      <c r="S80" s="132" t="s">
        <v>232</v>
      </c>
      <c r="T80" s="133" t="s">
        <v>170</v>
      </c>
      <c r="U80" s="92" t="str">
        <f>VLOOKUP(T80,'FieldRule Case'!$B$3:$I$31,8,FALSE)</f>
        <v>Pass</v>
      </c>
      <c r="V80" s="92"/>
    </row>
    <row r="81" spans="19:22">
      <c r="S81" s="132" t="s">
        <v>232</v>
      </c>
      <c r="T81" s="133" t="s">
        <v>171</v>
      </c>
      <c r="U81" s="92" t="str">
        <f>VLOOKUP(T81,'FieldRule Case'!$B$3:$I$31,8,FALSE)</f>
        <v>Fail</v>
      </c>
      <c r="V81" s="91"/>
    </row>
    <row r="82" spans="19:22">
      <c r="S82" s="132" t="s">
        <v>232</v>
      </c>
      <c r="T82" s="133" t="s">
        <v>172</v>
      </c>
      <c r="U82" s="92" t="str">
        <f>VLOOKUP(T82,'FieldRule Case'!$B$3:$I$31,8,FALSE)</f>
        <v>Pass</v>
      </c>
      <c r="V82" s="92"/>
    </row>
    <row r="83" spans="19:22">
      <c r="S83" s="132" t="s">
        <v>232</v>
      </c>
      <c r="T83" s="133" t="s">
        <v>173</v>
      </c>
      <c r="U83" s="92" t="str">
        <f>VLOOKUP(T83,'FieldRule Case'!$B$3:$I$31,8,FALSE)</f>
        <v>Pass</v>
      </c>
      <c r="V83" s="92"/>
    </row>
    <row r="84" spans="19:22">
      <c r="S84" s="132" t="s">
        <v>232</v>
      </c>
      <c r="T84" s="133" t="s">
        <v>174</v>
      </c>
      <c r="U84" s="92" t="str">
        <f>VLOOKUP(T84,'FieldRule Case'!$B$3:$I$31,8,FALSE)</f>
        <v>Pass</v>
      </c>
      <c r="V84" s="92"/>
    </row>
    <row r="85" spans="19:22">
      <c r="S85" s="132" t="s">
        <v>232</v>
      </c>
      <c r="T85" s="133" t="s">
        <v>175</v>
      </c>
      <c r="U85" s="92" t="str">
        <f>VLOOKUP(T85,'FieldRule Case'!$B$3:$I$31,8,FALSE)</f>
        <v>Pass</v>
      </c>
      <c r="V85" s="92"/>
    </row>
    <row r="86" spans="19:22">
      <c r="S86" s="132" t="s">
        <v>232</v>
      </c>
      <c r="T86" s="133" t="s">
        <v>176</v>
      </c>
      <c r="U86" s="92" t="str">
        <f>VLOOKUP(T86,'FieldRule Case'!$B$3:$I$31,8,FALSE)</f>
        <v>Pass</v>
      </c>
      <c r="V86" s="92"/>
    </row>
    <row r="87" spans="19:22">
      <c r="S87" s="132" t="s">
        <v>232</v>
      </c>
      <c r="T87" s="133" t="s">
        <v>177</v>
      </c>
      <c r="U87" s="92" t="str">
        <f>VLOOKUP(T87,'FieldRule Case'!$B$3:$I$31,8,FALSE)</f>
        <v>Pass</v>
      </c>
      <c r="V87" s="92"/>
    </row>
    <row r="88" spans="19:22">
      <c r="S88" s="132" t="s">
        <v>232</v>
      </c>
      <c r="T88" s="133" t="s">
        <v>178</v>
      </c>
      <c r="U88" s="92" t="str">
        <f>VLOOKUP(T88,'FieldRule Case'!$B$3:$I$31,8,FALSE)</f>
        <v>Pass</v>
      </c>
      <c r="V88" s="92"/>
    </row>
    <row r="89" spans="19:22">
      <c r="S89" s="132" t="s">
        <v>232</v>
      </c>
      <c r="T89" s="133" t="s">
        <v>179</v>
      </c>
      <c r="U89" s="92" t="str">
        <f>VLOOKUP(T89,'FieldRule Case'!$B$3:$I$31,8,FALSE)</f>
        <v>Pass</v>
      </c>
      <c r="V89" s="92"/>
    </row>
    <row r="90" spans="19:22">
      <c r="S90" s="132" t="s">
        <v>232</v>
      </c>
      <c r="T90" s="133" t="s">
        <v>180</v>
      </c>
      <c r="U90" s="92" t="str">
        <f>VLOOKUP(T90,'FieldRule Case'!$B$3:$I$31,8,FALSE)</f>
        <v>Pass</v>
      </c>
      <c r="V90" s="92"/>
    </row>
    <row r="91" spans="19:22">
      <c r="S91" s="132" t="s">
        <v>232</v>
      </c>
      <c r="T91" s="133" t="s">
        <v>181</v>
      </c>
      <c r="U91" s="92" t="str">
        <f>VLOOKUP(T91,'FieldRule Case'!$B$3:$I$31,8,FALSE)</f>
        <v>Fail</v>
      </c>
      <c r="V91" s="92"/>
    </row>
    <row r="92" spans="19:22">
      <c r="S92" s="132" t="s">
        <v>232</v>
      </c>
      <c r="T92" s="133" t="s">
        <v>182</v>
      </c>
      <c r="U92" s="92" t="str">
        <f>VLOOKUP(T92,'FieldRule Case'!$B$3:$I$31,8,FALSE)</f>
        <v>Pass</v>
      </c>
      <c r="V92" s="92"/>
    </row>
    <row r="93" spans="19:22">
      <c r="S93" s="132" t="s">
        <v>232</v>
      </c>
      <c r="T93" s="133" t="s">
        <v>183</v>
      </c>
      <c r="U93" s="92" t="str">
        <f>VLOOKUP(T93,'FieldRule Case'!$B$3:$I$31,8,FALSE)</f>
        <v>Pass</v>
      </c>
      <c r="V93" s="92"/>
    </row>
    <row r="94" spans="19:22">
      <c r="S94" s="132" t="s">
        <v>232</v>
      </c>
      <c r="T94" s="133" t="s">
        <v>184</v>
      </c>
      <c r="U94" s="92" t="str">
        <f>VLOOKUP(T94,'FieldRule Case'!$B$3:$I$31,8,FALSE)</f>
        <v>Pass</v>
      </c>
      <c r="V94" s="92"/>
    </row>
    <row r="95" spans="19:22">
      <c r="S95" s="132" t="s">
        <v>232</v>
      </c>
      <c r="T95" s="133" t="s">
        <v>185</v>
      </c>
      <c r="U95" s="92" t="str">
        <f>VLOOKUP(T95,'FieldRule Case'!$B$3:$I$31,8,FALSE)</f>
        <v>Pass</v>
      </c>
      <c r="V95" s="92"/>
    </row>
    <row r="96" spans="19:22">
      <c r="S96" s="132" t="s">
        <v>241</v>
      </c>
      <c r="T96" s="132" t="s">
        <v>317</v>
      </c>
      <c r="U96" s="92" t="str">
        <f>'E2E Case'!D3</f>
        <v>Pass</v>
      </c>
      <c r="V96" s="92"/>
    </row>
  </sheetData>
  <mergeCells count="8">
    <mergeCell ref="S1:V1"/>
    <mergeCell ref="K21:L21"/>
    <mergeCell ref="A14:A16"/>
    <mergeCell ref="A1:C1"/>
    <mergeCell ref="A2:A4"/>
    <mergeCell ref="A5:A7"/>
    <mergeCell ref="A8:A10"/>
    <mergeCell ref="A11:A13"/>
  </mergeCells>
  <phoneticPr fontId="2" type="noConversion"/>
  <conditionalFormatting sqref="S3:V100">
    <cfRule type="expression" dxfId="15" priority="2">
      <formula>$U3="Fail"</formula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0.79998168889431442"/>
  </sheetPr>
  <dimension ref="A1:V95"/>
  <sheetViews>
    <sheetView zoomScale="85" zoomScaleNormal="85" zoomScaleSheetLayoutView="75" workbookViewId="0">
      <selection activeCell="C2" sqref="C2"/>
    </sheetView>
  </sheetViews>
  <sheetFormatPr defaultColWidth="9" defaultRowHeight="16.5"/>
  <cols>
    <col min="1" max="1" width="12.75" bestFit="1" customWidth="1"/>
    <col min="2" max="2" width="17.875" bestFit="1" customWidth="1"/>
    <col min="3" max="3" width="40.625" customWidth="1"/>
    <col min="4" max="12" width="5.625" style="1" customWidth="1"/>
    <col min="13" max="21" width="5.625" customWidth="1"/>
    <col min="22" max="22" width="13.125" bestFit="1" customWidth="1"/>
  </cols>
  <sheetData>
    <row r="1" spans="1:21" ht="87.75" thickBot="1">
      <c r="A1" s="186" t="s">
        <v>432</v>
      </c>
      <c r="B1" s="187"/>
      <c r="C1" s="188"/>
      <c r="D1" s="6" t="s">
        <v>17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44</v>
      </c>
      <c r="R1" s="6" t="s">
        <v>45</v>
      </c>
      <c r="S1" s="6" t="s">
        <v>46</v>
      </c>
      <c r="T1" s="6" t="s">
        <v>47</v>
      </c>
      <c r="U1" s="6" t="s">
        <v>70</v>
      </c>
    </row>
    <row r="2" spans="1:21">
      <c r="A2" s="200" t="s">
        <v>80</v>
      </c>
      <c r="B2" s="203" t="s">
        <v>3</v>
      </c>
      <c r="C2" s="8" t="s">
        <v>0</v>
      </c>
      <c r="D2" s="16" t="s">
        <v>102</v>
      </c>
      <c r="E2" s="16"/>
      <c r="F2" s="16"/>
      <c r="G2" s="16" t="s">
        <v>102</v>
      </c>
      <c r="H2" s="16" t="s">
        <v>102</v>
      </c>
      <c r="I2" s="16" t="s">
        <v>102</v>
      </c>
      <c r="J2" s="16" t="s">
        <v>102</v>
      </c>
      <c r="K2" s="16" t="s">
        <v>102</v>
      </c>
      <c r="L2" s="16"/>
      <c r="M2" s="16"/>
      <c r="N2" s="16"/>
      <c r="O2" s="16"/>
      <c r="P2" s="16"/>
      <c r="Q2" s="16"/>
      <c r="R2" s="16" t="s">
        <v>102</v>
      </c>
      <c r="S2" s="16"/>
      <c r="T2" s="16"/>
      <c r="U2" s="16" t="s">
        <v>102</v>
      </c>
    </row>
    <row r="3" spans="1:21">
      <c r="A3" s="201"/>
      <c r="B3" s="180"/>
      <c r="C3" s="5" t="s">
        <v>1</v>
      </c>
      <c r="D3" s="17"/>
      <c r="E3" s="17" t="s">
        <v>102</v>
      </c>
      <c r="F3" s="17"/>
      <c r="G3" s="17"/>
      <c r="H3" s="17"/>
      <c r="I3" s="17"/>
      <c r="J3" s="17"/>
      <c r="K3" s="17"/>
      <c r="L3" s="17" t="s">
        <v>102</v>
      </c>
      <c r="M3" s="17" t="s">
        <v>102</v>
      </c>
      <c r="N3" s="17" t="s">
        <v>102</v>
      </c>
      <c r="O3" s="17" t="s">
        <v>102</v>
      </c>
      <c r="P3" s="17" t="s">
        <v>102</v>
      </c>
      <c r="Q3" s="17"/>
      <c r="R3" s="17"/>
      <c r="S3" s="17" t="s">
        <v>102</v>
      </c>
      <c r="T3" s="17"/>
      <c r="U3" s="17"/>
    </row>
    <row r="4" spans="1:21" ht="17.25" thickBot="1">
      <c r="A4" s="202"/>
      <c r="B4" s="204"/>
      <c r="C4" s="9" t="s">
        <v>2</v>
      </c>
      <c r="D4" s="18"/>
      <c r="E4" s="18"/>
      <c r="F4" s="18" t="s">
        <v>102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 t="s">
        <v>102</v>
      </c>
      <c r="R4" s="18"/>
      <c r="S4" s="18"/>
      <c r="T4" s="18" t="s">
        <v>102</v>
      </c>
      <c r="U4" s="18"/>
    </row>
    <row r="5" spans="1:21" ht="16.5" customHeight="1">
      <c r="A5" s="197" t="s">
        <v>31</v>
      </c>
      <c r="B5" s="48" t="s">
        <v>14</v>
      </c>
      <c r="C5" s="7" t="s">
        <v>10</v>
      </c>
      <c r="D5" s="19" t="s">
        <v>102</v>
      </c>
      <c r="E5" s="19" t="s">
        <v>102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 t="s">
        <v>102</v>
      </c>
      <c r="U5" s="19"/>
    </row>
    <row r="6" spans="1:21">
      <c r="A6" s="198"/>
      <c r="B6" s="181" t="s">
        <v>9</v>
      </c>
      <c r="C6" s="3" t="s">
        <v>10</v>
      </c>
      <c r="D6" s="17"/>
      <c r="E6" s="17"/>
      <c r="F6" s="17" t="s">
        <v>102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</row>
    <row r="7" spans="1:21">
      <c r="A7" s="198"/>
      <c r="B7" s="181"/>
      <c r="C7" s="3" t="s">
        <v>11</v>
      </c>
      <c r="D7" s="17"/>
      <c r="E7" s="17"/>
      <c r="F7" s="17"/>
      <c r="G7" s="17" t="s">
        <v>102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</row>
    <row r="8" spans="1:21">
      <c r="A8" s="198"/>
      <c r="B8" s="181" t="s">
        <v>5</v>
      </c>
      <c r="C8" s="3" t="s">
        <v>10</v>
      </c>
      <c r="D8" s="17"/>
      <c r="E8" s="17"/>
      <c r="F8" s="17"/>
      <c r="G8" s="17"/>
      <c r="H8" s="17" t="s">
        <v>102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</row>
    <row r="9" spans="1:21">
      <c r="A9" s="198"/>
      <c r="B9" s="181"/>
      <c r="C9" s="3" t="s">
        <v>11</v>
      </c>
      <c r="D9" s="17"/>
      <c r="E9" s="17"/>
      <c r="F9" s="17"/>
      <c r="G9" s="17"/>
      <c r="H9" s="17"/>
      <c r="I9" s="17" t="s">
        <v>102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 spans="1:21">
      <c r="A10" s="198"/>
      <c r="B10" s="181" t="s">
        <v>8</v>
      </c>
      <c r="C10" s="3" t="s">
        <v>10</v>
      </c>
      <c r="D10" s="17"/>
      <c r="E10" s="17"/>
      <c r="F10" s="17"/>
      <c r="G10" s="17"/>
      <c r="H10" s="17"/>
      <c r="I10" s="17"/>
      <c r="J10" s="17" t="s">
        <v>102</v>
      </c>
      <c r="K10" s="17"/>
      <c r="L10" s="17"/>
      <c r="M10" s="17"/>
      <c r="N10" s="17"/>
      <c r="O10" s="17"/>
      <c r="P10" s="17"/>
      <c r="Q10" s="17"/>
      <c r="R10" s="17"/>
      <c r="S10" s="17" t="s">
        <v>102</v>
      </c>
      <c r="T10" s="17"/>
      <c r="U10" s="17"/>
    </row>
    <row r="11" spans="1:21">
      <c r="A11" s="198"/>
      <c r="B11" s="181"/>
      <c r="C11" s="3" t="s">
        <v>11</v>
      </c>
      <c r="D11" s="17"/>
      <c r="E11" s="17"/>
      <c r="F11" s="17"/>
      <c r="G11" s="17"/>
      <c r="H11" s="17"/>
      <c r="I11" s="17"/>
      <c r="J11" s="17"/>
      <c r="K11" s="17" t="s">
        <v>102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>
      <c r="A12" s="198"/>
      <c r="B12" s="2" t="s">
        <v>12</v>
      </c>
      <c r="C12" s="3" t="s">
        <v>10</v>
      </c>
      <c r="D12" s="17"/>
      <c r="E12" s="17"/>
      <c r="F12" s="17"/>
      <c r="G12" s="17"/>
      <c r="H12" s="17"/>
      <c r="I12" s="17"/>
      <c r="J12" s="17"/>
      <c r="K12" s="17"/>
      <c r="L12" s="17" t="s">
        <v>102</v>
      </c>
      <c r="M12" s="17"/>
      <c r="N12" s="17"/>
      <c r="O12" s="17"/>
      <c r="P12" s="17"/>
      <c r="Q12" s="17"/>
      <c r="R12" s="17"/>
      <c r="S12" s="17"/>
      <c r="T12" s="17"/>
      <c r="U12" s="17"/>
    </row>
    <row r="13" spans="1:21">
      <c r="A13" s="198"/>
      <c r="B13" s="2" t="s">
        <v>13</v>
      </c>
      <c r="C13" s="3" t="s">
        <v>10</v>
      </c>
      <c r="D13" s="17"/>
      <c r="E13" s="17"/>
      <c r="F13" s="17"/>
      <c r="G13" s="17"/>
      <c r="H13" s="17"/>
      <c r="I13" s="17"/>
      <c r="J13" s="17"/>
      <c r="K13" s="17"/>
      <c r="L13" s="17"/>
      <c r="M13" s="17" t="s">
        <v>102</v>
      </c>
      <c r="N13" s="17"/>
      <c r="O13" s="17"/>
      <c r="P13" s="17"/>
      <c r="Q13" s="17"/>
      <c r="R13" s="17"/>
      <c r="S13" s="17"/>
      <c r="T13" s="17"/>
      <c r="U13" s="17"/>
    </row>
    <row r="14" spans="1:21">
      <c r="A14" s="198"/>
      <c r="B14" s="2" t="s">
        <v>4</v>
      </c>
      <c r="C14" s="3" t="s">
        <v>11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 t="s">
        <v>102</v>
      </c>
      <c r="O14" s="17"/>
      <c r="P14" s="17"/>
      <c r="Q14" s="17"/>
      <c r="R14" s="17"/>
      <c r="S14" s="17"/>
      <c r="T14" s="17"/>
      <c r="U14" s="17"/>
    </row>
    <row r="15" spans="1:21">
      <c r="A15" s="198"/>
      <c r="B15" s="2" t="s">
        <v>6</v>
      </c>
      <c r="C15" s="3" t="s">
        <v>11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 t="s">
        <v>102</v>
      </c>
      <c r="P15" s="17"/>
      <c r="Q15" s="17"/>
      <c r="R15" s="17"/>
      <c r="S15" s="17"/>
      <c r="T15" s="17"/>
      <c r="U15" s="17" t="s">
        <v>102</v>
      </c>
    </row>
    <row r="16" spans="1:21">
      <c r="A16" s="198"/>
      <c r="B16" s="2" t="s">
        <v>7</v>
      </c>
      <c r="C16" s="3" t="s">
        <v>11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 t="s">
        <v>102</v>
      </c>
      <c r="Q16" s="17"/>
      <c r="R16" s="17"/>
      <c r="S16" s="17"/>
      <c r="T16" s="17"/>
      <c r="U16" s="17"/>
    </row>
    <row r="17" spans="1:22" ht="33.75" thickBot="1">
      <c r="A17" s="199"/>
      <c r="B17" s="10" t="s">
        <v>15</v>
      </c>
      <c r="C17" s="11" t="s">
        <v>16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 t="s">
        <v>102</v>
      </c>
      <c r="R17" s="20" t="s">
        <v>102</v>
      </c>
      <c r="S17" s="20"/>
      <c r="T17" s="20"/>
      <c r="U17" s="20"/>
    </row>
    <row r="18" spans="1:22">
      <c r="A18" s="194" t="s">
        <v>19</v>
      </c>
      <c r="B18" s="189" t="s">
        <v>49</v>
      </c>
      <c r="C18" s="189"/>
      <c r="D18" s="16" t="s">
        <v>102</v>
      </c>
      <c r="E18" s="16" t="s">
        <v>102</v>
      </c>
      <c r="F18" s="16" t="s">
        <v>102</v>
      </c>
      <c r="G18" s="16" t="s">
        <v>102</v>
      </c>
      <c r="H18" s="16" t="s">
        <v>102</v>
      </c>
      <c r="I18" s="16" t="s">
        <v>102</v>
      </c>
      <c r="J18" s="16" t="s">
        <v>102</v>
      </c>
      <c r="K18" s="16" t="s">
        <v>102</v>
      </c>
      <c r="L18" s="33" t="s">
        <v>56</v>
      </c>
      <c r="M18" s="33" t="s">
        <v>56</v>
      </c>
      <c r="N18" s="16" t="s">
        <v>102</v>
      </c>
      <c r="O18" s="16" t="s">
        <v>102</v>
      </c>
      <c r="P18" s="16" t="s">
        <v>102</v>
      </c>
      <c r="Q18" s="16" t="s">
        <v>102</v>
      </c>
      <c r="R18" s="16" t="s">
        <v>102</v>
      </c>
      <c r="S18" s="16" t="s">
        <v>102</v>
      </c>
      <c r="T18" s="16" t="s">
        <v>102</v>
      </c>
      <c r="U18" s="16" t="s">
        <v>102</v>
      </c>
    </row>
    <row r="19" spans="1:22" ht="32.25" customHeight="1">
      <c r="A19" s="195"/>
      <c r="B19" s="190" t="s">
        <v>50</v>
      </c>
      <c r="C19" s="190"/>
      <c r="D19" s="17" t="s">
        <v>102</v>
      </c>
      <c r="E19" s="17" t="s">
        <v>102</v>
      </c>
      <c r="F19" s="17" t="s">
        <v>102</v>
      </c>
      <c r="G19" s="17" t="s">
        <v>102</v>
      </c>
      <c r="H19" s="17" t="s">
        <v>102</v>
      </c>
      <c r="I19" s="17" t="s">
        <v>102</v>
      </c>
      <c r="J19" s="17" t="s">
        <v>102</v>
      </c>
      <c r="K19" s="17" t="s">
        <v>102</v>
      </c>
      <c r="L19" s="22"/>
      <c r="M19" s="22"/>
      <c r="N19" s="17" t="s">
        <v>102</v>
      </c>
      <c r="O19" s="17" t="s">
        <v>102</v>
      </c>
      <c r="P19" s="17" t="s">
        <v>102</v>
      </c>
      <c r="Q19" s="17" t="s">
        <v>102</v>
      </c>
      <c r="R19" s="17" t="s">
        <v>102</v>
      </c>
      <c r="S19" s="17" t="s">
        <v>102</v>
      </c>
      <c r="T19" s="17" t="s">
        <v>102</v>
      </c>
      <c r="U19" s="17" t="s">
        <v>102</v>
      </c>
    </row>
    <row r="20" spans="1:22" ht="17.25" thickBot="1">
      <c r="A20" s="196"/>
      <c r="B20" s="191" t="s">
        <v>48</v>
      </c>
      <c r="C20" s="191"/>
      <c r="D20" s="18" t="s">
        <v>102</v>
      </c>
      <c r="E20" s="18" t="s">
        <v>102</v>
      </c>
      <c r="F20" s="18" t="s">
        <v>102</v>
      </c>
      <c r="G20" s="18" t="s">
        <v>102</v>
      </c>
      <c r="H20" s="18" t="s">
        <v>102</v>
      </c>
      <c r="I20" s="18" t="s">
        <v>102</v>
      </c>
      <c r="J20" s="18" t="s">
        <v>102</v>
      </c>
      <c r="K20" s="18" t="s">
        <v>102</v>
      </c>
      <c r="L20" s="23"/>
      <c r="M20" s="23"/>
      <c r="N20" s="18" t="s">
        <v>102</v>
      </c>
      <c r="O20" s="18" t="s">
        <v>102</v>
      </c>
      <c r="P20" s="18" t="s">
        <v>102</v>
      </c>
      <c r="Q20" s="18" t="s">
        <v>102</v>
      </c>
      <c r="R20" s="18" t="s">
        <v>102</v>
      </c>
      <c r="S20" s="18" t="s">
        <v>102</v>
      </c>
      <c r="T20" s="18" t="s">
        <v>102</v>
      </c>
      <c r="U20" s="18" t="s">
        <v>102</v>
      </c>
    </row>
    <row r="21" spans="1:22">
      <c r="A21" s="207" t="s">
        <v>23</v>
      </c>
      <c r="B21" s="46" t="s">
        <v>22</v>
      </c>
      <c r="C21" s="12" t="s">
        <v>57</v>
      </c>
      <c r="D21" s="19" t="s">
        <v>102</v>
      </c>
      <c r="E21" s="19"/>
      <c r="F21" s="19" t="s">
        <v>102</v>
      </c>
      <c r="G21" s="19"/>
      <c r="H21" s="19" t="s">
        <v>102</v>
      </c>
      <c r="I21" s="19"/>
      <c r="J21" s="19" t="s">
        <v>102</v>
      </c>
      <c r="K21" s="19"/>
      <c r="L21" s="34"/>
      <c r="M21" s="34"/>
      <c r="N21" s="19" t="s">
        <v>102</v>
      </c>
      <c r="O21" s="19"/>
      <c r="P21" s="19"/>
      <c r="Q21" s="19"/>
      <c r="R21" s="19" t="s">
        <v>102</v>
      </c>
      <c r="S21" s="19" t="s">
        <v>102</v>
      </c>
      <c r="T21" s="19"/>
      <c r="U21" s="19"/>
    </row>
    <row r="22" spans="1:22" ht="17.25" thickBot="1">
      <c r="A22" s="208"/>
      <c r="B22" s="45" t="s">
        <v>21</v>
      </c>
      <c r="C22" s="13" t="s">
        <v>58</v>
      </c>
      <c r="D22" s="20"/>
      <c r="E22" s="20" t="s">
        <v>102</v>
      </c>
      <c r="F22" s="20"/>
      <c r="G22" s="20" t="s">
        <v>102</v>
      </c>
      <c r="H22" s="20"/>
      <c r="I22" s="20" t="s">
        <v>102</v>
      </c>
      <c r="J22" s="20"/>
      <c r="K22" s="20" t="s">
        <v>102</v>
      </c>
      <c r="L22" s="35"/>
      <c r="M22" s="35"/>
      <c r="N22" s="20"/>
      <c r="O22" s="20" t="s">
        <v>102</v>
      </c>
      <c r="P22" s="20" t="s">
        <v>102</v>
      </c>
      <c r="Q22" s="20" t="s">
        <v>102</v>
      </c>
      <c r="R22" s="20"/>
      <c r="S22" s="20"/>
      <c r="T22" s="20" t="s">
        <v>102</v>
      </c>
      <c r="U22" s="20" t="s">
        <v>102</v>
      </c>
    </row>
    <row r="23" spans="1:22" ht="17.25" thickTop="1">
      <c r="A23" s="213" t="s">
        <v>20</v>
      </c>
      <c r="B23" s="214" t="s">
        <v>24</v>
      </c>
      <c r="C23" s="214"/>
      <c r="D23" s="21" t="s">
        <v>102</v>
      </c>
      <c r="E23" s="21" t="s">
        <v>102</v>
      </c>
      <c r="F23" s="21" t="s">
        <v>102</v>
      </c>
      <c r="G23" s="21" t="s">
        <v>102</v>
      </c>
      <c r="H23" s="21" t="s">
        <v>102</v>
      </c>
      <c r="I23" s="21" t="s">
        <v>102</v>
      </c>
      <c r="J23" s="21" t="s">
        <v>102</v>
      </c>
      <c r="K23" s="21" t="s">
        <v>102</v>
      </c>
      <c r="L23" s="36"/>
      <c r="M23" s="36"/>
      <c r="N23" s="21" t="s">
        <v>102</v>
      </c>
      <c r="O23" s="21" t="s">
        <v>102</v>
      </c>
      <c r="P23" s="21" t="s">
        <v>102</v>
      </c>
      <c r="Q23" s="21" t="s">
        <v>102</v>
      </c>
      <c r="R23" s="21"/>
      <c r="S23" s="21"/>
      <c r="T23" s="21"/>
      <c r="U23" s="21"/>
    </row>
    <row r="24" spans="1:22">
      <c r="A24" s="198"/>
      <c r="B24" s="181" t="s">
        <v>25</v>
      </c>
      <c r="C24" s="181"/>
      <c r="D24" s="17"/>
      <c r="E24" s="17"/>
      <c r="F24" s="17"/>
      <c r="G24" s="17"/>
      <c r="H24" s="17"/>
      <c r="I24" s="17"/>
      <c r="J24" s="17"/>
      <c r="K24" s="17"/>
      <c r="L24" s="22"/>
      <c r="M24" s="22"/>
      <c r="N24" s="17"/>
      <c r="O24" s="17"/>
      <c r="P24" s="17"/>
      <c r="Q24" s="17"/>
      <c r="R24" s="17" t="s">
        <v>102</v>
      </c>
      <c r="S24" s="17"/>
      <c r="T24" s="17" t="s">
        <v>102</v>
      </c>
      <c r="U24" s="17"/>
    </row>
    <row r="25" spans="1:22" ht="17.25" thickBot="1">
      <c r="A25" s="199"/>
      <c r="B25" s="215" t="s">
        <v>26</v>
      </c>
      <c r="C25" s="215"/>
      <c r="D25" s="20"/>
      <c r="E25" s="20"/>
      <c r="F25" s="20"/>
      <c r="G25" s="20"/>
      <c r="H25" s="20"/>
      <c r="I25" s="20"/>
      <c r="J25" s="20"/>
      <c r="K25" s="20"/>
      <c r="L25" s="35"/>
      <c r="M25" s="35"/>
      <c r="N25" s="20"/>
      <c r="O25" s="20"/>
      <c r="P25" s="20"/>
      <c r="Q25" s="20"/>
      <c r="R25" s="20"/>
      <c r="S25" s="20" t="s">
        <v>102</v>
      </c>
      <c r="T25" s="20"/>
      <c r="U25" s="20" t="s">
        <v>102</v>
      </c>
    </row>
    <row r="26" spans="1:22">
      <c r="A26" s="194" t="s">
        <v>18</v>
      </c>
      <c r="B26" s="209" t="s">
        <v>27</v>
      </c>
      <c r="C26" s="209"/>
      <c r="D26" s="16" t="s">
        <v>102</v>
      </c>
      <c r="E26" s="16" t="s">
        <v>102</v>
      </c>
      <c r="F26" s="16" t="s">
        <v>102</v>
      </c>
      <c r="G26" s="16" t="s">
        <v>102</v>
      </c>
      <c r="H26" s="16" t="s">
        <v>102</v>
      </c>
      <c r="I26" s="16" t="s">
        <v>102</v>
      </c>
      <c r="J26" s="16" t="s">
        <v>102</v>
      </c>
      <c r="K26" s="16" t="s">
        <v>102</v>
      </c>
      <c r="L26" s="37"/>
      <c r="M26" s="37"/>
      <c r="N26" s="16" t="s">
        <v>102</v>
      </c>
      <c r="O26" s="16" t="s">
        <v>102</v>
      </c>
      <c r="P26" s="16" t="s">
        <v>102</v>
      </c>
      <c r="Q26" s="16" t="s">
        <v>102</v>
      </c>
      <c r="R26" s="25" t="s">
        <v>56</v>
      </c>
      <c r="S26" s="25" t="s">
        <v>55</v>
      </c>
      <c r="T26" s="25" t="s">
        <v>56</v>
      </c>
      <c r="U26" s="25" t="s">
        <v>55</v>
      </c>
    </row>
    <row r="27" spans="1:22">
      <c r="A27" s="212"/>
      <c r="B27" s="184" t="s">
        <v>54</v>
      </c>
      <c r="C27" s="185"/>
      <c r="D27" s="24" t="s">
        <v>56</v>
      </c>
      <c r="E27" s="24" t="s">
        <v>56</v>
      </c>
      <c r="F27" s="24" t="s">
        <v>56</v>
      </c>
      <c r="G27" s="24" t="s">
        <v>56</v>
      </c>
      <c r="H27" s="24" t="s">
        <v>56</v>
      </c>
      <c r="I27" s="24" t="s">
        <v>56</v>
      </c>
      <c r="J27" s="24" t="s">
        <v>56</v>
      </c>
      <c r="K27" s="24" t="s">
        <v>56</v>
      </c>
      <c r="L27" s="38"/>
      <c r="M27" s="38"/>
      <c r="N27" s="24" t="s">
        <v>56</v>
      </c>
      <c r="O27" s="24" t="s">
        <v>56</v>
      </c>
      <c r="P27" s="24" t="s">
        <v>56</v>
      </c>
      <c r="Q27" s="24" t="s">
        <v>56</v>
      </c>
      <c r="R27" s="17" t="s">
        <v>102</v>
      </c>
      <c r="S27" s="17" t="s">
        <v>102</v>
      </c>
      <c r="T27" s="17" t="s">
        <v>102</v>
      </c>
      <c r="U27" s="17" t="s">
        <v>102</v>
      </c>
      <c r="V27" s="26"/>
    </row>
    <row r="28" spans="1:22">
      <c r="A28" s="212"/>
      <c r="B28" s="184" t="s">
        <v>51</v>
      </c>
      <c r="C28" s="185"/>
      <c r="D28" s="17" t="s">
        <v>102</v>
      </c>
      <c r="E28" s="17" t="s">
        <v>102</v>
      </c>
      <c r="F28" s="17" t="s">
        <v>102</v>
      </c>
      <c r="G28" s="17" t="s">
        <v>102</v>
      </c>
      <c r="H28" s="17" t="s">
        <v>102</v>
      </c>
      <c r="I28" s="17" t="s">
        <v>102</v>
      </c>
      <c r="J28" s="17" t="s">
        <v>102</v>
      </c>
      <c r="K28" s="17" t="s">
        <v>102</v>
      </c>
      <c r="L28" s="22"/>
      <c r="M28" s="22"/>
      <c r="N28" s="17" t="s">
        <v>102</v>
      </c>
      <c r="O28" s="17" t="s">
        <v>102</v>
      </c>
      <c r="P28" s="17" t="s">
        <v>102</v>
      </c>
      <c r="Q28" s="17" t="s">
        <v>102</v>
      </c>
      <c r="R28" s="24" t="s">
        <v>56</v>
      </c>
      <c r="S28" s="24" t="s">
        <v>56</v>
      </c>
      <c r="T28" s="24" t="s">
        <v>56</v>
      </c>
      <c r="U28" s="24" t="s">
        <v>56</v>
      </c>
    </row>
    <row r="29" spans="1:22">
      <c r="A29" s="195"/>
      <c r="B29" s="205" t="s">
        <v>28</v>
      </c>
      <c r="C29" s="14" t="s">
        <v>52</v>
      </c>
      <c r="D29" s="17" t="s">
        <v>102</v>
      </c>
      <c r="E29" s="17" t="s">
        <v>102</v>
      </c>
      <c r="F29" s="17" t="s">
        <v>102</v>
      </c>
      <c r="G29" s="17" t="s">
        <v>102</v>
      </c>
      <c r="H29" s="17" t="s">
        <v>102</v>
      </c>
      <c r="I29" s="17" t="s">
        <v>102</v>
      </c>
      <c r="J29" s="17" t="s">
        <v>102</v>
      </c>
      <c r="K29" s="17" t="s">
        <v>102</v>
      </c>
      <c r="L29" s="22"/>
      <c r="M29" s="22"/>
      <c r="N29" s="17" t="s">
        <v>102</v>
      </c>
      <c r="O29" s="17" t="s">
        <v>102</v>
      </c>
      <c r="P29" s="17" t="s">
        <v>102</v>
      </c>
      <c r="Q29" s="17" t="s">
        <v>102</v>
      </c>
      <c r="R29" s="22"/>
      <c r="S29" s="22"/>
      <c r="T29" s="22"/>
      <c r="U29" s="22"/>
    </row>
    <row r="30" spans="1:22" ht="33">
      <c r="A30" s="195"/>
      <c r="B30" s="206"/>
      <c r="C30" s="15" t="s">
        <v>53</v>
      </c>
      <c r="D30" s="17" t="s">
        <v>102</v>
      </c>
      <c r="E30" s="17" t="s">
        <v>102</v>
      </c>
      <c r="F30" s="17" t="s">
        <v>102</v>
      </c>
      <c r="G30" s="17" t="s">
        <v>102</v>
      </c>
      <c r="H30" s="17" t="s">
        <v>102</v>
      </c>
      <c r="I30" s="17" t="s">
        <v>102</v>
      </c>
      <c r="J30" s="17" t="s">
        <v>102</v>
      </c>
      <c r="K30" s="17" t="s">
        <v>102</v>
      </c>
      <c r="L30" s="22"/>
      <c r="M30" s="22"/>
      <c r="N30" s="17" t="s">
        <v>102</v>
      </c>
      <c r="O30" s="17" t="s">
        <v>102</v>
      </c>
      <c r="P30" s="17" t="s">
        <v>102</v>
      </c>
      <c r="Q30" s="17" t="s">
        <v>102</v>
      </c>
      <c r="R30" s="22"/>
      <c r="S30" s="22"/>
      <c r="T30" s="22"/>
      <c r="U30" s="22"/>
    </row>
    <row r="31" spans="1:22">
      <c r="A31" s="195"/>
      <c r="B31" s="210" t="s">
        <v>29</v>
      </c>
      <c r="C31" s="210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17" t="s">
        <v>102</v>
      </c>
      <c r="S31" s="17"/>
      <c r="T31" s="17" t="s">
        <v>102</v>
      </c>
      <c r="U31" s="17"/>
    </row>
    <row r="32" spans="1:22" ht="17.25" thickBot="1">
      <c r="A32" s="196"/>
      <c r="B32" s="211" t="s">
        <v>30</v>
      </c>
      <c r="C32" s="211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18"/>
      <c r="S32" s="18" t="s">
        <v>102</v>
      </c>
      <c r="T32" s="18"/>
      <c r="U32" s="18" t="s">
        <v>102</v>
      </c>
    </row>
    <row r="33" spans="1:21" ht="33" customHeight="1" thickBot="1">
      <c r="A33" s="192" t="s">
        <v>138</v>
      </c>
      <c r="B33" s="193"/>
      <c r="C33" s="193"/>
      <c r="D33" s="102" t="s">
        <v>136</v>
      </c>
      <c r="E33" s="102" t="s">
        <v>136</v>
      </c>
      <c r="F33" s="102" t="s">
        <v>136</v>
      </c>
      <c r="G33" s="102" t="s">
        <v>136</v>
      </c>
      <c r="H33" s="102" t="s">
        <v>136</v>
      </c>
      <c r="I33" s="102" t="s">
        <v>136</v>
      </c>
      <c r="J33" s="102" t="s">
        <v>137</v>
      </c>
      <c r="K33" s="102" t="s">
        <v>136</v>
      </c>
      <c r="L33" s="102" t="s">
        <v>136</v>
      </c>
      <c r="M33" s="102" t="s">
        <v>136</v>
      </c>
      <c r="N33" s="102" t="s">
        <v>137</v>
      </c>
      <c r="O33" s="102" t="s">
        <v>136</v>
      </c>
      <c r="P33" s="102" t="s">
        <v>136</v>
      </c>
      <c r="Q33" s="102" t="s">
        <v>136</v>
      </c>
      <c r="R33" s="102" t="s">
        <v>137</v>
      </c>
      <c r="S33" s="102" t="s">
        <v>136</v>
      </c>
      <c r="T33" s="102" t="s">
        <v>136</v>
      </c>
      <c r="U33" s="103" t="s">
        <v>136</v>
      </c>
    </row>
    <row r="35" spans="1:21" ht="17.25" thickBot="1"/>
    <row r="36" spans="1:21" ht="87" thickBot="1">
      <c r="A36" s="216" t="s">
        <v>431</v>
      </c>
      <c r="B36" s="217"/>
      <c r="C36" s="218"/>
      <c r="D36" s="54" t="s">
        <v>59</v>
      </c>
      <c r="E36" s="54" t="s">
        <v>60</v>
      </c>
      <c r="F36" s="54" t="s">
        <v>61</v>
      </c>
      <c r="G36" s="54" t="s">
        <v>62</v>
      </c>
      <c r="H36" s="54" t="s">
        <v>63</v>
      </c>
      <c r="I36" s="54" t="s">
        <v>64</v>
      </c>
      <c r="J36" s="54" t="s">
        <v>65</v>
      </c>
      <c r="K36" s="54" t="s">
        <v>66</v>
      </c>
      <c r="L36" s="54" t="s">
        <v>186</v>
      </c>
      <c r="M36" s="54" t="s">
        <v>187</v>
      </c>
      <c r="N36" s="54" t="s">
        <v>67</v>
      </c>
      <c r="O36" s="54" t="s">
        <v>68</v>
      </c>
      <c r="P36" s="54" t="s">
        <v>69</v>
      </c>
    </row>
    <row r="37" spans="1:21" ht="18">
      <c r="A37" s="219" t="s">
        <v>80</v>
      </c>
      <c r="B37" s="203" t="s">
        <v>3</v>
      </c>
      <c r="C37" s="8" t="s">
        <v>0</v>
      </c>
      <c r="D37" s="72" t="s">
        <v>102</v>
      </c>
      <c r="E37" s="32"/>
      <c r="F37" s="32"/>
      <c r="G37" s="32"/>
      <c r="H37" s="32"/>
      <c r="I37" s="16" t="s">
        <v>102</v>
      </c>
      <c r="J37" s="32"/>
      <c r="K37" s="32"/>
      <c r="L37" s="32"/>
      <c r="M37" s="16" t="s">
        <v>102</v>
      </c>
      <c r="N37" s="16" t="s">
        <v>102</v>
      </c>
      <c r="O37" s="32"/>
      <c r="P37" s="55"/>
    </row>
    <row r="38" spans="1:21" ht="18">
      <c r="A38" s="220"/>
      <c r="B38" s="180"/>
      <c r="C38" s="5" t="s">
        <v>1</v>
      </c>
      <c r="D38" s="39"/>
      <c r="E38" s="81" t="s">
        <v>102</v>
      </c>
      <c r="F38" s="39"/>
      <c r="G38" s="17" t="s">
        <v>102</v>
      </c>
      <c r="H38" s="81" t="s">
        <v>102</v>
      </c>
      <c r="I38" s="39"/>
      <c r="J38" s="17" t="s">
        <v>102</v>
      </c>
      <c r="K38" s="17" t="s">
        <v>102</v>
      </c>
      <c r="L38" s="17" t="s">
        <v>102</v>
      </c>
      <c r="M38" s="39"/>
      <c r="N38" s="39"/>
      <c r="O38" s="39"/>
      <c r="P38" s="82" t="s">
        <v>102</v>
      </c>
    </row>
    <row r="39" spans="1:21" ht="17.25" thickBot="1">
      <c r="A39" s="221"/>
      <c r="B39" s="204"/>
      <c r="C39" s="9" t="s">
        <v>2</v>
      </c>
      <c r="D39" s="40"/>
      <c r="E39" s="40"/>
      <c r="F39" s="18" t="s">
        <v>102</v>
      </c>
      <c r="G39" s="40"/>
      <c r="H39" s="40"/>
      <c r="I39" s="40"/>
      <c r="J39" s="40"/>
      <c r="K39" s="40"/>
      <c r="L39" s="40"/>
      <c r="M39" s="40"/>
      <c r="N39" s="40"/>
      <c r="O39" s="18" t="s">
        <v>102</v>
      </c>
      <c r="P39" s="56"/>
    </row>
    <row r="40" spans="1:21">
      <c r="A40" s="222" t="s">
        <v>31</v>
      </c>
      <c r="B40" s="48" t="s">
        <v>14</v>
      </c>
      <c r="C40" s="7" t="s">
        <v>10</v>
      </c>
      <c r="D40" s="41" t="s">
        <v>102</v>
      </c>
      <c r="E40" s="41" t="s">
        <v>102</v>
      </c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57"/>
    </row>
    <row r="41" spans="1:21">
      <c r="A41" s="223"/>
      <c r="B41" s="181" t="s">
        <v>9</v>
      </c>
      <c r="C41" s="3" t="s">
        <v>10</v>
      </c>
      <c r="D41" s="39"/>
      <c r="E41" s="39"/>
      <c r="F41" s="39" t="s">
        <v>102</v>
      </c>
      <c r="G41" s="39"/>
      <c r="H41" s="39"/>
      <c r="I41" s="39"/>
      <c r="J41" s="39"/>
      <c r="K41" s="39"/>
      <c r="L41" s="39"/>
      <c r="M41" s="39"/>
      <c r="N41" s="39"/>
      <c r="O41" s="39"/>
      <c r="P41" s="52"/>
    </row>
    <row r="42" spans="1:21">
      <c r="A42" s="223"/>
      <c r="B42" s="181"/>
      <c r="C42" s="3" t="s">
        <v>11</v>
      </c>
      <c r="D42" s="39"/>
      <c r="E42" s="39"/>
      <c r="F42" s="39"/>
      <c r="G42" s="39" t="s">
        <v>102</v>
      </c>
      <c r="H42" s="39"/>
      <c r="I42" s="39"/>
      <c r="J42" s="39"/>
      <c r="K42" s="39"/>
      <c r="L42" s="39"/>
      <c r="M42" s="39"/>
      <c r="N42" s="39"/>
      <c r="O42" s="39"/>
      <c r="P42" s="52"/>
    </row>
    <row r="43" spans="1:21">
      <c r="A43" s="223"/>
      <c r="B43" s="181" t="s">
        <v>5</v>
      </c>
      <c r="C43" s="3" t="s">
        <v>10</v>
      </c>
      <c r="D43" s="39"/>
      <c r="E43" s="39"/>
      <c r="F43" s="39"/>
      <c r="G43" s="39"/>
      <c r="H43" s="39" t="s">
        <v>102</v>
      </c>
      <c r="I43" s="39"/>
      <c r="J43" s="39"/>
      <c r="K43" s="39"/>
      <c r="L43" s="39"/>
      <c r="M43" s="39"/>
      <c r="N43" s="39"/>
      <c r="O43" s="39"/>
      <c r="P43" s="52"/>
    </row>
    <row r="44" spans="1:21">
      <c r="A44" s="223"/>
      <c r="B44" s="181"/>
      <c r="C44" s="3" t="s">
        <v>11</v>
      </c>
      <c r="D44" s="39"/>
      <c r="E44" s="39"/>
      <c r="F44" s="39"/>
      <c r="G44" s="39"/>
      <c r="H44" s="39"/>
      <c r="I44" s="39" t="s">
        <v>102</v>
      </c>
      <c r="J44" s="39"/>
      <c r="K44" s="39"/>
      <c r="L44" s="39"/>
      <c r="M44" s="39"/>
      <c r="N44" s="39"/>
      <c r="O44" s="39"/>
      <c r="P44" s="52"/>
    </row>
    <row r="45" spans="1:21">
      <c r="A45" s="223"/>
      <c r="B45" s="181" t="s">
        <v>8</v>
      </c>
      <c r="C45" s="3" t="s">
        <v>10</v>
      </c>
      <c r="D45" s="39"/>
      <c r="E45" s="39"/>
      <c r="F45" s="39"/>
      <c r="G45" s="39"/>
      <c r="H45" s="39"/>
      <c r="I45" s="39"/>
      <c r="J45" s="39" t="s">
        <v>102</v>
      </c>
      <c r="K45" s="39"/>
      <c r="L45" s="39"/>
      <c r="M45" s="39"/>
      <c r="N45" s="39"/>
      <c r="O45" s="39"/>
      <c r="P45" s="52"/>
    </row>
    <row r="46" spans="1:21">
      <c r="A46" s="223"/>
      <c r="B46" s="181"/>
      <c r="C46" s="3" t="s">
        <v>11</v>
      </c>
      <c r="D46" s="39"/>
      <c r="E46" s="39"/>
      <c r="F46" s="39"/>
      <c r="G46" s="39"/>
      <c r="H46" s="39"/>
      <c r="I46" s="39"/>
      <c r="J46" s="39"/>
      <c r="K46" s="39" t="s">
        <v>102</v>
      </c>
      <c r="L46" s="39"/>
      <c r="M46" s="39"/>
      <c r="N46" s="39"/>
      <c r="O46" s="39"/>
      <c r="P46" s="52"/>
    </row>
    <row r="47" spans="1:21">
      <c r="A47" s="223"/>
      <c r="B47" s="2" t="s">
        <v>4</v>
      </c>
      <c r="C47" s="3" t="s">
        <v>11</v>
      </c>
      <c r="D47" s="39"/>
      <c r="E47" s="39"/>
      <c r="F47" s="39"/>
      <c r="G47" s="39"/>
      <c r="H47" s="39"/>
      <c r="I47" s="39"/>
      <c r="J47" s="39"/>
      <c r="K47" s="39"/>
      <c r="L47" s="39" t="s">
        <v>102</v>
      </c>
      <c r="M47" s="39"/>
      <c r="N47" s="39"/>
      <c r="O47" s="39"/>
      <c r="P47" s="52"/>
    </row>
    <row r="48" spans="1:21">
      <c r="A48" s="223"/>
      <c r="B48" s="2" t="s">
        <v>6</v>
      </c>
      <c r="C48" s="3" t="s">
        <v>11</v>
      </c>
      <c r="D48" s="39"/>
      <c r="E48" s="39"/>
      <c r="F48" s="39"/>
      <c r="G48" s="39"/>
      <c r="H48" s="39"/>
      <c r="I48" s="39"/>
      <c r="J48" s="39"/>
      <c r="K48" s="39"/>
      <c r="L48" s="39"/>
      <c r="M48" s="39" t="s">
        <v>102</v>
      </c>
      <c r="N48" s="39"/>
      <c r="O48" s="39"/>
      <c r="P48" s="52"/>
    </row>
    <row r="49" spans="1:16">
      <c r="A49" s="223"/>
      <c r="B49" s="2" t="s">
        <v>7</v>
      </c>
      <c r="C49" s="3" t="s">
        <v>11</v>
      </c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 t="s">
        <v>102</v>
      </c>
      <c r="O49" s="39"/>
      <c r="P49" s="52"/>
    </row>
    <row r="50" spans="1:16" ht="33.75" thickBot="1">
      <c r="A50" s="224"/>
      <c r="B50" s="10" t="s">
        <v>15</v>
      </c>
      <c r="C50" s="11" t="s">
        <v>16</v>
      </c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 t="s">
        <v>102</v>
      </c>
      <c r="P50" s="58" t="s">
        <v>102</v>
      </c>
    </row>
    <row r="51" spans="1:16" ht="17.25" thickBot="1">
      <c r="A51" s="51" t="s">
        <v>19</v>
      </c>
      <c r="B51" s="225" t="s">
        <v>49</v>
      </c>
      <c r="C51" s="225"/>
      <c r="D51" s="64" t="s">
        <v>102</v>
      </c>
      <c r="E51" s="65" t="s">
        <v>102</v>
      </c>
      <c r="F51" s="65" t="s">
        <v>102</v>
      </c>
      <c r="G51" s="65" t="s">
        <v>102</v>
      </c>
      <c r="H51" s="65" t="s">
        <v>102</v>
      </c>
      <c r="I51" s="65" t="s">
        <v>102</v>
      </c>
      <c r="J51" s="65" t="s">
        <v>102</v>
      </c>
      <c r="K51" s="65" t="s">
        <v>102</v>
      </c>
      <c r="L51" s="65" t="s">
        <v>102</v>
      </c>
      <c r="M51" s="65" t="s">
        <v>102</v>
      </c>
      <c r="N51" s="65" t="s">
        <v>102</v>
      </c>
      <c r="O51" s="65" t="s">
        <v>102</v>
      </c>
      <c r="P51" s="66" t="s">
        <v>102</v>
      </c>
    </row>
    <row r="52" spans="1:16">
      <c r="A52" s="226" t="s">
        <v>23</v>
      </c>
      <c r="B52" s="229" t="s">
        <v>22</v>
      </c>
      <c r="C52" s="8" t="s">
        <v>71</v>
      </c>
      <c r="D52" s="16"/>
      <c r="E52" s="16" t="s">
        <v>102</v>
      </c>
      <c r="F52" s="16"/>
      <c r="G52" s="32"/>
      <c r="H52" s="32"/>
      <c r="I52" s="16" t="s">
        <v>102</v>
      </c>
      <c r="J52" s="32"/>
      <c r="K52" s="32"/>
      <c r="L52" s="32"/>
      <c r="M52" s="32"/>
      <c r="N52" s="32"/>
      <c r="O52" s="32"/>
      <c r="P52" s="55"/>
    </row>
    <row r="53" spans="1:16">
      <c r="A53" s="227"/>
      <c r="B53" s="230"/>
      <c r="C53" s="12" t="s">
        <v>75</v>
      </c>
      <c r="D53" s="41"/>
      <c r="E53" s="41"/>
      <c r="F53" s="19" t="s">
        <v>102</v>
      </c>
      <c r="G53" s="41"/>
      <c r="H53" s="41"/>
      <c r="I53" s="41"/>
      <c r="J53" s="19" t="s">
        <v>102</v>
      </c>
      <c r="K53" s="41"/>
      <c r="L53" s="41"/>
      <c r="M53" s="41"/>
      <c r="N53" s="41"/>
      <c r="O53" s="41"/>
      <c r="P53" s="57"/>
    </row>
    <row r="54" spans="1:16">
      <c r="A54" s="227"/>
      <c r="B54" s="230"/>
      <c r="C54" s="12" t="s">
        <v>73</v>
      </c>
      <c r="D54" s="41"/>
      <c r="E54" s="41"/>
      <c r="F54" s="41"/>
      <c r="G54" s="19" t="s">
        <v>102</v>
      </c>
      <c r="H54" s="41"/>
      <c r="I54" s="41"/>
      <c r="J54" s="19" t="s">
        <v>102</v>
      </c>
      <c r="K54" s="41"/>
      <c r="L54" s="41"/>
      <c r="M54" s="41"/>
      <c r="N54" s="41"/>
      <c r="O54" s="41"/>
      <c r="P54" s="57"/>
    </row>
    <row r="55" spans="1:16">
      <c r="A55" s="227"/>
      <c r="B55" s="231"/>
      <c r="C55" s="12" t="s">
        <v>74</v>
      </c>
      <c r="D55" s="41"/>
      <c r="E55" s="41"/>
      <c r="F55" s="41"/>
      <c r="G55" s="41"/>
      <c r="H55" s="19" t="s">
        <v>102</v>
      </c>
      <c r="I55" s="19" t="s">
        <v>102</v>
      </c>
      <c r="J55" s="41"/>
      <c r="K55" s="41"/>
      <c r="L55" s="41"/>
      <c r="M55" s="41"/>
      <c r="N55" s="41"/>
      <c r="O55" s="41"/>
      <c r="P55" s="57"/>
    </row>
    <row r="56" spans="1:16">
      <c r="A56" s="227"/>
      <c r="B56" s="232" t="s">
        <v>21</v>
      </c>
      <c r="C56" s="12" t="s">
        <v>71</v>
      </c>
      <c r="D56" s="42"/>
      <c r="E56" s="42"/>
      <c r="F56" s="42"/>
      <c r="G56" s="42"/>
      <c r="H56" s="42"/>
      <c r="I56" s="42"/>
      <c r="J56" s="42"/>
      <c r="K56" s="19" t="s">
        <v>102</v>
      </c>
      <c r="L56" s="19"/>
      <c r="M56" s="41"/>
      <c r="N56" s="41"/>
      <c r="O56" s="19" t="s">
        <v>102</v>
      </c>
      <c r="P56" s="57"/>
    </row>
    <row r="57" spans="1:16">
      <c r="A57" s="227"/>
      <c r="B57" s="230"/>
      <c r="C57" s="12" t="s">
        <v>72</v>
      </c>
      <c r="D57" s="42"/>
      <c r="E57" s="42"/>
      <c r="F57" s="42"/>
      <c r="G57" s="42"/>
      <c r="H57" s="42"/>
      <c r="I57" s="42"/>
      <c r="J57" s="42"/>
      <c r="K57" s="41"/>
      <c r="L57" s="19" t="s">
        <v>102</v>
      </c>
      <c r="M57" s="41"/>
      <c r="N57" s="41"/>
      <c r="O57" s="41"/>
      <c r="P57" s="59" t="s">
        <v>102</v>
      </c>
    </row>
    <row r="58" spans="1:16">
      <c r="A58" s="227"/>
      <c r="B58" s="230"/>
      <c r="C58" s="12" t="s">
        <v>73</v>
      </c>
      <c r="D58" s="42"/>
      <c r="E58" s="42"/>
      <c r="F58" s="42"/>
      <c r="G58" s="42"/>
      <c r="H58" s="42"/>
      <c r="I58" s="42"/>
      <c r="J58" s="42"/>
      <c r="K58" s="41"/>
      <c r="L58" s="41"/>
      <c r="M58" s="19" t="s">
        <v>102</v>
      </c>
      <c r="N58" s="41"/>
      <c r="O58" s="41"/>
      <c r="P58" s="59" t="s">
        <v>102</v>
      </c>
    </row>
    <row r="59" spans="1:16" ht="17.25" thickBot="1">
      <c r="A59" s="228"/>
      <c r="B59" s="233"/>
      <c r="C59" s="68" t="s">
        <v>74</v>
      </c>
      <c r="D59" s="40"/>
      <c r="E59" s="40"/>
      <c r="F59" s="40"/>
      <c r="G59" s="40"/>
      <c r="H59" s="40"/>
      <c r="I59" s="40"/>
      <c r="J59" s="40"/>
      <c r="K59" s="69"/>
      <c r="L59" s="69"/>
      <c r="M59" s="69"/>
      <c r="N59" s="70" t="s">
        <v>102</v>
      </c>
      <c r="O59" s="70" t="s">
        <v>102</v>
      </c>
      <c r="P59" s="71"/>
    </row>
    <row r="60" spans="1:16" ht="17.25" thickBot="1">
      <c r="A60" s="67" t="s">
        <v>20</v>
      </c>
      <c r="B60" s="234" t="s">
        <v>24</v>
      </c>
      <c r="C60" s="234"/>
      <c r="D60" s="19" t="s">
        <v>102</v>
      </c>
      <c r="E60" s="41" t="s">
        <v>102</v>
      </c>
      <c r="F60" s="41" t="s">
        <v>102</v>
      </c>
      <c r="G60" s="41" t="s">
        <v>102</v>
      </c>
      <c r="H60" s="41" t="s">
        <v>102</v>
      </c>
      <c r="I60" s="41" t="s">
        <v>102</v>
      </c>
      <c r="J60" s="41" t="s">
        <v>102</v>
      </c>
      <c r="K60" s="41" t="s">
        <v>102</v>
      </c>
      <c r="L60" s="41" t="s">
        <v>102</v>
      </c>
      <c r="M60" s="41" t="s">
        <v>102</v>
      </c>
      <c r="N60" s="41" t="s">
        <v>102</v>
      </c>
      <c r="O60" s="41" t="s">
        <v>102</v>
      </c>
      <c r="P60" s="57" t="s">
        <v>102</v>
      </c>
    </row>
    <row r="61" spans="1:16" ht="18">
      <c r="A61" s="235" t="s">
        <v>18</v>
      </c>
      <c r="B61" s="209" t="s">
        <v>76</v>
      </c>
      <c r="C61" s="209"/>
      <c r="D61" s="73" t="s">
        <v>102</v>
      </c>
      <c r="E61" s="73" t="s">
        <v>102</v>
      </c>
      <c r="F61" s="73" t="s">
        <v>102</v>
      </c>
      <c r="G61" s="73" t="s">
        <v>102</v>
      </c>
      <c r="H61" s="73" t="s">
        <v>102</v>
      </c>
      <c r="I61" s="73" t="s">
        <v>102</v>
      </c>
      <c r="J61" s="73" t="s">
        <v>102</v>
      </c>
      <c r="K61" s="73" t="s">
        <v>102</v>
      </c>
      <c r="L61" s="73" t="s">
        <v>102</v>
      </c>
      <c r="M61" s="73" t="s">
        <v>102</v>
      </c>
      <c r="N61" s="73" t="s">
        <v>102</v>
      </c>
      <c r="O61" s="73" t="s">
        <v>102</v>
      </c>
      <c r="P61" s="74" t="s">
        <v>102</v>
      </c>
    </row>
    <row r="62" spans="1:16" ht="66.75" thickBot="1">
      <c r="A62" s="236"/>
      <c r="B62" s="4" t="s">
        <v>77</v>
      </c>
      <c r="C62" s="47" t="s">
        <v>89</v>
      </c>
      <c r="D62" s="75" t="s">
        <v>102</v>
      </c>
      <c r="E62" s="75" t="s">
        <v>102</v>
      </c>
      <c r="F62" s="75" t="s">
        <v>102</v>
      </c>
      <c r="G62" s="75" t="s">
        <v>102</v>
      </c>
      <c r="H62" s="75" t="s">
        <v>102</v>
      </c>
      <c r="I62" s="75" t="s">
        <v>102</v>
      </c>
      <c r="J62" s="75" t="s">
        <v>102</v>
      </c>
      <c r="K62" s="75" t="s">
        <v>102</v>
      </c>
      <c r="L62" s="75" t="s">
        <v>102</v>
      </c>
      <c r="M62" s="75" t="s">
        <v>102</v>
      </c>
      <c r="N62" s="75" t="s">
        <v>102</v>
      </c>
      <c r="O62" s="75" t="s">
        <v>102</v>
      </c>
      <c r="P62" s="76" t="s">
        <v>102</v>
      </c>
    </row>
    <row r="63" spans="1:16" ht="18" thickTop="1" thickBot="1">
      <c r="A63" s="60" t="s">
        <v>78</v>
      </c>
      <c r="B63" s="237" t="s">
        <v>79</v>
      </c>
      <c r="C63" s="237"/>
      <c r="D63" s="49" t="s">
        <v>102</v>
      </c>
      <c r="E63" s="49" t="s">
        <v>102</v>
      </c>
      <c r="F63" s="49" t="s">
        <v>102</v>
      </c>
      <c r="G63" s="49" t="s">
        <v>102</v>
      </c>
      <c r="H63" s="49" t="s">
        <v>102</v>
      </c>
      <c r="I63" s="49" t="s">
        <v>102</v>
      </c>
      <c r="J63" s="49" t="s">
        <v>102</v>
      </c>
      <c r="K63" s="49" t="s">
        <v>102</v>
      </c>
      <c r="L63" s="49" t="s">
        <v>102</v>
      </c>
      <c r="M63" s="49" t="s">
        <v>102</v>
      </c>
      <c r="N63" s="49" t="s">
        <v>102</v>
      </c>
      <c r="O63" s="49" t="s">
        <v>102</v>
      </c>
      <c r="P63" s="61" t="s">
        <v>102</v>
      </c>
    </row>
    <row r="64" spans="1:16" ht="18">
      <c r="A64" s="235" t="s">
        <v>84</v>
      </c>
      <c r="B64" s="209" t="s">
        <v>81</v>
      </c>
      <c r="C64" s="209"/>
      <c r="D64" s="73" t="s">
        <v>102</v>
      </c>
      <c r="E64" s="73" t="s">
        <v>102</v>
      </c>
      <c r="F64" s="73" t="s">
        <v>102</v>
      </c>
      <c r="G64" s="73" t="s">
        <v>102</v>
      </c>
      <c r="H64" s="73" t="s">
        <v>102</v>
      </c>
      <c r="I64" s="73" t="s">
        <v>102</v>
      </c>
      <c r="J64" s="73" t="s">
        <v>102</v>
      </c>
      <c r="K64" s="73" t="s">
        <v>102</v>
      </c>
      <c r="L64" s="73" t="s">
        <v>102</v>
      </c>
      <c r="M64" s="73" t="s">
        <v>102</v>
      </c>
      <c r="N64" s="73" t="s">
        <v>102</v>
      </c>
      <c r="O64" s="73" t="s">
        <v>102</v>
      </c>
      <c r="P64" s="74" t="s">
        <v>102</v>
      </c>
    </row>
    <row r="65" spans="1:16" ht="49.5">
      <c r="A65" s="238"/>
      <c r="B65" s="240" t="s">
        <v>83</v>
      </c>
      <c r="C65" s="15" t="s">
        <v>50</v>
      </c>
      <c r="D65" s="17" t="s">
        <v>102</v>
      </c>
      <c r="E65" s="17" t="s">
        <v>102</v>
      </c>
      <c r="F65" s="17" t="s">
        <v>102</v>
      </c>
      <c r="G65" s="17" t="s">
        <v>102</v>
      </c>
      <c r="H65" s="17" t="s">
        <v>102</v>
      </c>
      <c r="I65" s="39"/>
      <c r="J65" s="39"/>
      <c r="K65" s="17" t="s">
        <v>102</v>
      </c>
      <c r="L65" s="17" t="s">
        <v>102</v>
      </c>
      <c r="M65" s="17" t="s">
        <v>102</v>
      </c>
      <c r="N65" s="17" t="s">
        <v>102</v>
      </c>
      <c r="O65" s="39"/>
      <c r="P65" s="52"/>
    </row>
    <row r="66" spans="1:16" ht="50.25" thickBot="1">
      <c r="A66" s="239"/>
      <c r="B66" s="241"/>
      <c r="C66" s="53" t="s">
        <v>82</v>
      </c>
      <c r="D66" s="40"/>
      <c r="E66" s="40"/>
      <c r="F66" s="40"/>
      <c r="G66" s="40"/>
      <c r="H66" s="40"/>
      <c r="I66" s="77" t="s">
        <v>102</v>
      </c>
      <c r="J66" s="77" t="s">
        <v>102</v>
      </c>
      <c r="K66" s="40"/>
      <c r="L66" s="40"/>
      <c r="M66" s="40"/>
      <c r="N66" s="40"/>
      <c r="O66" s="18" t="s">
        <v>102</v>
      </c>
      <c r="P66" s="78" t="s">
        <v>102</v>
      </c>
    </row>
    <row r="67" spans="1:16" ht="17.25" thickBot="1">
      <c r="A67" s="62" t="s">
        <v>85</v>
      </c>
      <c r="B67" s="242" t="s">
        <v>87</v>
      </c>
      <c r="C67" s="242"/>
      <c r="D67" s="79" t="s">
        <v>102</v>
      </c>
      <c r="E67" s="43" t="s">
        <v>102</v>
      </c>
      <c r="F67" s="44"/>
      <c r="G67" s="44"/>
      <c r="H67" s="44"/>
      <c r="I67" s="43" t="s">
        <v>102</v>
      </c>
      <c r="J67" s="43" t="s">
        <v>102</v>
      </c>
      <c r="K67" s="43" t="s">
        <v>102</v>
      </c>
      <c r="L67" s="44"/>
      <c r="M67" s="44"/>
      <c r="N67" s="44"/>
      <c r="O67" s="43" t="s">
        <v>102</v>
      </c>
      <c r="P67" s="63" t="s">
        <v>102</v>
      </c>
    </row>
    <row r="68" spans="1:16" ht="18.75" thickBot="1">
      <c r="A68" s="50" t="s">
        <v>86</v>
      </c>
      <c r="B68" s="243" t="s">
        <v>88</v>
      </c>
      <c r="C68" s="243"/>
      <c r="D68" s="80" t="s">
        <v>102</v>
      </c>
      <c r="E68" s="80" t="s">
        <v>102</v>
      </c>
      <c r="F68" s="84"/>
      <c r="G68" s="85"/>
      <c r="H68" s="85"/>
      <c r="I68" s="80" t="s">
        <v>102</v>
      </c>
      <c r="J68" s="80" t="s">
        <v>102</v>
      </c>
      <c r="K68" s="80" t="s">
        <v>102</v>
      </c>
      <c r="L68" s="84"/>
      <c r="M68" s="85"/>
      <c r="N68" s="85"/>
      <c r="O68" s="80" t="s">
        <v>102</v>
      </c>
      <c r="P68" s="83" t="s">
        <v>102</v>
      </c>
    </row>
    <row r="69" spans="1:16" ht="17.25" thickBot="1">
      <c r="A69" s="192" t="s">
        <v>138</v>
      </c>
      <c r="B69" s="193"/>
      <c r="C69" s="193"/>
      <c r="D69" s="102" t="s">
        <v>137</v>
      </c>
      <c r="E69" s="102" t="s">
        <v>136</v>
      </c>
      <c r="F69" s="102" t="s">
        <v>136</v>
      </c>
      <c r="G69" s="102" t="s">
        <v>137</v>
      </c>
      <c r="H69" s="102" t="s">
        <v>136</v>
      </c>
      <c r="I69" s="102" t="s">
        <v>136</v>
      </c>
      <c r="J69" s="102" t="s">
        <v>136</v>
      </c>
      <c r="K69" s="102" t="s">
        <v>136</v>
      </c>
      <c r="L69" s="102" t="s">
        <v>136</v>
      </c>
      <c r="M69" s="102" t="s">
        <v>136</v>
      </c>
      <c r="N69" s="102" t="s">
        <v>137</v>
      </c>
      <c r="O69" s="102" t="s">
        <v>136</v>
      </c>
      <c r="P69" s="103" t="s">
        <v>136</v>
      </c>
    </row>
    <row r="71" spans="1:16" ht="17.25" thickBot="1"/>
    <row r="72" spans="1:16" ht="78" thickBot="1">
      <c r="A72" s="244" t="s">
        <v>430</v>
      </c>
      <c r="B72" s="245"/>
      <c r="C72" s="246"/>
      <c r="D72" s="54" t="s">
        <v>90</v>
      </c>
      <c r="E72" s="54" t="s">
        <v>91</v>
      </c>
      <c r="F72" s="54" t="s">
        <v>92</v>
      </c>
      <c r="G72" s="54" t="s">
        <v>93</v>
      </c>
      <c r="H72" s="54" t="s">
        <v>94</v>
      </c>
      <c r="I72" s="54" t="s">
        <v>95</v>
      </c>
      <c r="J72" s="54" t="s">
        <v>96</v>
      </c>
      <c r="K72" s="54" t="s">
        <v>97</v>
      </c>
      <c r="L72" s="54" t="s">
        <v>98</v>
      </c>
    </row>
    <row r="73" spans="1:16">
      <c r="A73" s="226" t="s">
        <v>80</v>
      </c>
      <c r="B73" s="203" t="s">
        <v>3</v>
      </c>
      <c r="C73" s="8" t="s">
        <v>0</v>
      </c>
      <c r="D73" s="112" t="s">
        <v>102</v>
      </c>
      <c r="E73" s="112" t="s">
        <v>102</v>
      </c>
      <c r="F73" s="112" t="s">
        <v>102</v>
      </c>
      <c r="G73" s="112"/>
      <c r="H73" s="112"/>
      <c r="I73" s="112"/>
      <c r="J73" s="112"/>
      <c r="K73" s="112"/>
      <c r="L73" s="112"/>
    </row>
    <row r="74" spans="1:16">
      <c r="A74" s="227"/>
      <c r="B74" s="180"/>
      <c r="C74" s="5" t="s">
        <v>1</v>
      </c>
      <c r="D74" s="113"/>
      <c r="E74" s="113"/>
      <c r="F74" s="113"/>
      <c r="G74" s="113" t="s">
        <v>226</v>
      </c>
      <c r="H74" s="113" t="s">
        <v>226</v>
      </c>
      <c r="I74" s="113" t="s">
        <v>226</v>
      </c>
      <c r="J74" s="113"/>
      <c r="K74" s="113"/>
      <c r="L74" s="113"/>
    </row>
    <row r="75" spans="1:16" ht="17.25" thickBot="1">
      <c r="A75" s="227"/>
      <c r="B75" s="204"/>
      <c r="C75" s="9" t="s">
        <v>2</v>
      </c>
      <c r="D75" s="114"/>
      <c r="E75" s="114"/>
      <c r="F75" s="114"/>
      <c r="G75" s="114"/>
      <c r="H75" s="114"/>
      <c r="I75" s="114"/>
      <c r="J75" s="114" t="s">
        <v>226</v>
      </c>
      <c r="K75" s="114" t="s">
        <v>226</v>
      </c>
      <c r="L75" s="114" t="s">
        <v>226</v>
      </c>
    </row>
    <row r="76" spans="1:16">
      <c r="A76" s="227"/>
      <c r="B76" s="46" t="s">
        <v>14</v>
      </c>
      <c r="C76" s="12" t="s">
        <v>10</v>
      </c>
      <c r="D76" s="112" t="s">
        <v>102</v>
      </c>
      <c r="E76" s="115"/>
      <c r="F76" s="115"/>
      <c r="G76" s="112" t="s">
        <v>102</v>
      </c>
      <c r="H76" s="115"/>
      <c r="I76" s="115"/>
      <c r="J76" s="112" t="s">
        <v>102</v>
      </c>
      <c r="K76" s="115"/>
      <c r="L76" s="115"/>
    </row>
    <row r="77" spans="1:16">
      <c r="A77" s="227"/>
      <c r="B77" s="180" t="s">
        <v>9</v>
      </c>
      <c r="C77" s="5" t="s">
        <v>10</v>
      </c>
      <c r="D77" s="113"/>
      <c r="E77" s="113" t="s">
        <v>226</v>
      </c>
      <c r="F77" s="113"/>
      <c r="G77" s="113"/>
      <c r="H77" s="113"/>
      <c r="I77" s="113"/>
      <c r="J77" s="113"/>
      <c r="K77" s="113" t="s">
        <v>226</v>
      </c>
      <c r="L77" s="113"/>
    </row>
    <row r="78" spans="1:16">
      <c r="A78" s="227"/>
      <c r="B78" s="180"/>
      <c r="C78" s="5" t="s">
        <v>11</v>
      </c>
      <c r="D78" s="113"/>
      <c r="E78" s="113"/>
      <c r="F78" s="113"/>
      <c r="G78" s="113"/>
      <c r="H78" s="113"/>
      <c r="I78" s="113" t="s">
        <v>226</v>
      </c>
      <c r="J78" s="113"/>
      <c r="K78" s="113"/>
      <c r="L78" s="113" t="s">
        <v>226</v>
      </c>
    </row>
    <row r="79" spans="1:16" ht="33.75" thickBot="1">
      <c r="A79" s="228"/>
      <c r="B79" s="45" t="s">
        <v>15</v>
      </c>
      <c r="C79" s="86" t="s">
        <v>16</v>
      </c>
      <c r="D79" s="116"/>
      <c r="E79" s="116"/>
      <c r="F79" s="116" t="s">
        <v>226</v>
      </c>
      <c r="G79" s="116"/>
      <c r="H79" s="116"/>
      <c r="I79" s="116" t="s">
        <v>226</v>
      </c>
      <c r="J79" s="116"/>
      <c r="K79" s="116"/>
      <c r="L79" s="116"/>
    </row>
    <row r="80" spans="1:16">
      <c r="A80" s="247" t="s">
        <v>99</v>
      </c>
      <c r="B80" s="88" t="s">
        <v>101</v>
      </c>
      <c r="C80" s="87" t="s">
        <v>100</v>
      </c>
      <c r="D80" s="112" t="s">
        <v>102</v>
      </c>
      <c r="E80" s="112" t="s">
        <v>226</v>
      </c>
      <c r="F80" s="112" t="s">
        <v>226</v>
      </c>
      <c r="G80" s="112" t="s">
        <v>102</v>
      </c>
      <c r="H80" s="112" t="s">
        <v>226</v>
      </c>
      <c r="I80" s="112" t="s">
        <v>226</v>
      </c>
      <c r="J80" s="112" t="s">
        <v>102</v>
      </c>
      <c r="K80" s="112" t="s">
        <v>226</v>
      </c>
      <c r="L80" s="112" t="s">
        <v>226</v>
      </c>
    </row>
    <row r="81" spans="1:12">
      <c r="A81" s="248"/>
      <c r="B81" s="181" t="s">
        <v>212</v>
      </c>
      <c r="C81" s="181"/>
      <c r="D81" s="113" t="s">
        <v>226</v>
      </c>
      <c r="E81" s="113"/>
      <c r="F81" s="113"/>
      <c r="G81" s="113" t="s">
        <v>226</v>
      </c>
      <c r="H81" s="113"/>
      <c r="I81" s="113"/>
      <c r="J81" s="113" t="s">
        <v>226</v>
      </c>
      <c r="K81" s="113"/>
      <c r="L81" s="113"/>
    </row>
    <row r="82" spans="1:12">
      <c r="A82" s="248"/>
      <c r="B82" s="181" t="s">
        <v>209</v>
      </c>
      <c r="C82" s="181"/>
      <c r="D82" s="113"/>
      <c r="E82" s="113" t="s">
        <v>226</v>
      </c>
      <c r="F82" s="113"/>
      <c r="G82" s="113"/>
      <c r="H82" s="113" t="s">
        <v>226</v>
      </c>
      <c r="I82" s="113"/>
      <c r="J82" s="113"/>
      <c r="K82" s="113" t="s">
        <v>226</v>
      </c>
      <c r="L82" s="113"/>
    </row>
    <row r="83" spans="1:12">
      <c r="A83" s="248"/>
      <c r="B83" s="181" t="s">
        <v>211</v>
      </c>
      <c r="C83" s="181"/>
      <c r="D83" s="113"/>
      <c r="E83" s="113"/>
      <c r="F83" s="113" t="s">
        <v>226</v>
      </c>
      <c r="G83" s="113"/>
      <c r="H83" s="113"/>
      <c r="I83" s="113" t="s">
        <v>226</v>
      </c>
      <c r="J83" s="113"/>
      <c r="K83" s="113"/>
      <c r="L83" s="113" t="s">
        <v>226</v>
      </c>
    </row>
    <row r="84" spans="1:12" ht="17.25" thickBot="1">
      <c r="A84" s="249"/>
      <c r="B84" s="250" t="s">
        <v>210</v>
      </c>
      <c r="C84" s="250"/>
      <c r="D84" s="114" t="s">
        <v>226</v>
      </c>
      <c r="E84" s="114" t="s">
        <v>226</v>
      </c>
      <c r="F84" s="114" t="s">
        <v>226</v>
      </c>
      <c r="G84" s="114" t="s">
        <v>226</v>
      </c>
      <c r="H84" s="114" t="s">
        <v>226</v>
      </c>
      <c r="I84" s="114" t="s">
        <v>226</v>
      </c>
      <c r="J84" s="114" t="s">
        <v>226</v>
      </c>
      <c r="K84" s="114" t="s">
        <v>226</v>
      </c>
      <c r="L84" s="114" t="s">
        <v>226</v>
      </c>
    </row>
    <row r="85" spans="1:12">
      <c r="A85" s="238" t="s">
        <v>19</v>
      </c>
      <c r="B85" s="251" t="s">
        <v>227</v>
      </c>
      <c r="C85" s="210"/>
      <c r="D85" s="117" t="s">
        <v>56</v>
      </c>
      <c r="E85" s="118" t="s">
        <v>226</v>
      </c>
      <c r="F85" s="118" t="s">
        <v>226</v>
      </c>
      <c r="G85" s="117" t="s">
        <v>56</v>
      </c>
      <c r="H85" s="118" t="s">
        <v>226</v>
      </c>
      <c r="I85" s="118" t="s">
        <v>226</v>
      </c>
      <c r="J85" s="117" t="s">
        <v>56</v>
      </c>
      <c r="K85" s="118" t="s">
        <v>226</v>
      </c>
      <c r="L85" s="118" t="s">
        <v>226</v>
      </c>
    </row>
    <row r="86" spans="1:12" ht="83.25" thickBot="1">
      <c r="A86" s="239"/>
      <c r="B86" s="111" t="s">
        <v>77</v>
      </c>
      <c r="C86" s="110" t="s">
        <v>224</v>
      </c>
      <c r="D86" s="119" t="s">
        <v>226</v>
      </c>
      <c r="E86" s="120" t="s">
        <v>56</v>
      </c>
      <c r="F86" s="120" t="s">
        <v>56</v>
      </c>
      <c r="G86" s="119" t="s">
        <v>226</v>
      </c>
      <c r="H86" s="120" t="s">
        <v>56</v>
      </c>
      <c r="I86" s="120" t="s">
        <v>56</v>
      </c>
      <c r="J86" s="119" t="s">
        <v>226</v>
      </c>
      <c r="K86" s="120" t="s">
        <v>56</v>
      </c>
      <c r="L86" s="120" t="s">
        <v>56</v>
      </c>
    </row>
    <row r="87" spans="1:12" ht="18" thickTop="1" thickBot="1">
      <c r="A87" s="60" t="s">
        <v>20</v>
      </c>
      <c r="B87" s="237" t="s">
        <v>222</v>
      </c>
      <c r="C87" s="237"/>
      <c r="D87" s="121"/>
      <c r="E87" s="122" t="s">
        <v>226</v>
      </c>
      <c r="F87" s="122" t="s">
        <v>226</v>
      </c>
      <c r="G87" s="121"/>
      <c r="H87" s="122" t="s">
        <v>226</v>
      </c>
      <c r="I87" s="122" t="s">
        <v>226</v>
      </c>
      <c r="J87" s="121"/>
      <c r="K87" s="122" t="s">
        <v>226</v>
      </c>
      <c r="L87" s="122" t="s">
        <v>226</v>
      </c>
    </row>
    <row r="88" spans="1:12">
      <c r="A88" s="235" t="s">
        <v>18</v>
      </c>
      <c r="B88" s="209" t="s">
        <v>223</v>
      </c>
      <c r="C88" s="209"/>
      <c r="D88" s="123"/>
      <c r="E88" s="124" t="s">
        <v>226</v>
      </c>
      <c r="F88" s="124"/>
      <c r="G88" s="123"/>
      <c r="H88" s="124" t="s">
        <v>226</v>
      </c>
      <c r="I88" s="124"/>
      <c r="J88" s="123"/>
      <c r="K88" s="124" t="s">
        <v>226</v>
      </c>
      <c r="L88" s="124"/>
    </row>
    <row r="89" spans="1:12" ht="99.75" thickBot="1">
      <c r="A89" s="239"/>
      <c r="B89" s="4" t="s">
        <v>77</v>
      </c>
      <c r="C89" s="47" t="s">
        <v>225</v>
      </c>
      <c r="D89" s="125"/>
      <c r="E89" s="118"/>
      <c r="F89" s="118" t="s">
        <v>226</v>
      </c>
      <c r="G89" s="125"/>
      <c r="H89" s="118"/>
      <c r="I89" s="118" t="s">
        <v>226</v>
      </c>
      <c r="J89" s="125"/>
      <c r="K89" s="118"/>
      <c r="L89" s="118" t="s">
        <v>226</v>
      </c>
    </row>
    <row r="90" spans="1:12" ht="18" thickTop="1" thickBot="1">
      <c r="A90" s="60" t="s">
        <v>78</v>
      </c>
      <c r="B90" s="237" t="s">
        <v>79</v>
      </c>
      <c r="C90" s="237"/>
      <c r="D90" s="121"/>
      <c r="E90" s="121"/>
      <c r="F90" s="122" t="s">
        <v>226</v>
      </c>
      <c r="G90" s="121"/>
      <c r="H90" s="121"/>
      <c r="I90" s="122" t="s">
        <v>226</v>
      </c>
      <c r="J90" s="121"/>
      <c r="K90" s="121"/>
      <c r="L90" s="122" t="s">
        <v>226</v>
      </c>
    </row>
    <row r="91" spans="1:12">
      <c r="A91" s="235" t="s">
        <v>84</v>
      </c>
      <c r="B91" s="209" t="s">
        <v>81</v>
      </c>
      <c r="C91" s="209"/>
      <c r="D91" s="123"/>
      <c r="E91" s="123"/>
      <c r="F91" s="124" t="s">
        <v>226</v>
      </c>
      <c r="G91" s="123"/>
      <c r="H91" s="123"/>
      <c r="I91" s="124" t="s">
        <v>226</v>
      </c>
      <c r="J91" s="123"/>
      <c r="K91" s="123"/>
      <c r="L91" s="124" t="s">
        <v>226</v>
      </c>
    </row>
    <row r="92" spans="1:12" ht="17.25" thickBot="1">
      <c r="A92" s="239"/>
      <c r="B92" s="252" t="s">
        <v>82</v>
      </c>
      <c r="C92" s="253"/>
      <c r="D92" s="126"/>
      <c r="E92" s="126"/>
      <c r="F92" s="114" t="s">
        <v>226</v>
      </c>
      <c r="G92" s="126"/>
      <c r="H92" s="126"/>
      <c r="I92" s="114" t="s">
        <v>226</v>
      </c>
      <c r="J92" s="126"/>
      <c r="K92" s="126"/>
      <c r="L92" s="114" t="s">
        <v>226</v>
      </c>
    </row>
    <row r="93" spans="1:12" ht="17.25" thickBot="1">
      <c r="A93" s="62" t="s">
        <v>85</v>
      </c>
      <c r="B93" s="242" t="s">
        <v>87</v>
      </c>
      <c r="C93" s="242"/>
      <c r="D93" s="127"/>
      <c r="E93" s="127"/>
      <c r="F93" s="128" t="s">
        <v>226</v>
      </c>
      <c r="G93" s="127"/>
      <c r="H93" s="127"/>
      <c r="I93" s="128" t="s">
        <v>226</v>
      </c>
      <c r="J93" s="127"/>
      <c r="K93" s="127"/>
      <c r="L93" s="128" t="s">
        <v>226</v>
      </c>
    </row>
    <row r="94" spans="1:12" ht="17.25" thickBot="1">
      <c r="A94" s="89" t="s">
        <v>86</v>
      </c>
      <c r="B94" s="243" t="s">
        <v>228</v>
      </c>
      <c r="C94" s="243"/>
      <c r="D94" s="129"/>
      <c r="E94" s="129"/>
      <c r="F94" s="130" t="s">
        <v>226</v>
      </c>
      <c r="G94" s="129"/>
      <c r="H94" s="129"/>
      <c r="I94" s="130" t="s">
        <v>226</v>
      </c>
      <c r="J94" s="129"/>
      <c r="K94" s="129"/>
      <c r="L94" s="130" t="s">
        <v>226</v>
      </c>
    </row>
    <row r="95" spans="1:12" ht="17.25" thickBot="1">
      <c r="A95" s="192" t="s">
        <v>138</v>
      </c>
      <c r="B95" s="193"/>
      <c r="C95" s="193"/>
      <c r="D95" s="102" t="s">
        <v>136</v>
      </c>
      <c r="E95" s="102" t="s">
        <v>136</v>
      </c>
      <c r="F95" s="102" t="s">
        <v>137</v>
      </c>
      <c r="G95" s="102" t="s">
        <v>136</v>
      </c>
      <c r="H95" s="102" t="s">
        <v>136</v>
      </c>
      <c r="I95" s="102" t="s">
        <v>137</v>
      </c>
      <c r="J95" s="102" t="s">
        <v>136</v>
      </c>
      <c r="K95" s="102" t="s">
        <v>136</v>
      </c>
      <c r="L95" s="102" t="s">
        <v>137</v>
      </c>
    </row>
  </sheetData>
  <mergeCells count="66">
    <mergeCell ref="B94:C94"/>
    <mergeCell ref="A95:C95"/>
    <mergeCell ref="B90:C90"/>
    <mergeCell ref="A91:A92"/>
    <mergeCell ref="B91:C91"/>
    <mergeCell ref="B92:C92"/>
    <mergeCell ref="B93:C93"/>
    <mergeCell ref="A85:A86"/>
    <mergeCell ref="B85:C85"/>
    <mergeCell ref="B87:C87"/>
    <mergeCell ref="A88:A89"/>
    <mergeCell ref="B88:C88"/>
    <mergeCell ref="A80:A84"/>
    <mergeCell ref="B81:C81"/>
    <mergeCell ref="B82:C82"/>
    <mergeCell ref="B83:C83"/>
    <mergeCell ref="B84:C84"/>
    <mergeCell ref="B67:C67"/>
    <mergeCell ref="B68:C68"/>
    <mergeCell ref="A69:C69"/>
    <mergeCell ref="A72:C72"/>
    <mergeCell ref="A73:A79"/>
    <mergeCell ref="B73:B75"/>
    <mergeCell ref="B77:B78"/>
    <mergeCell ref="A61:A62"/>
    <mergeCell ref="B61:C61"/>
    <mergeCell ref="B63:C63"/>
    <mergeCell ref="A64:A66"/>
    <mergeCell ref="B64:C64"/>
    <mergeCell ref="B65:B66"/>
    <mergeCell ref="B51:C51"/>
    <mergeCell ref="A52:A59"/>
    <mergeCell ref="B52:B55"/>
    <mergeCell ref="B56:B59"/>
    <mergeCell ref="B60:C60"/>
    <mergeCell ref="A36:C36"/>
    <mergeCell ref="A37:A39"/>
    <mergeCell ref="B37:B39"/>
    <mergeCell ref="A40:A50"/>
    <mergeCell ref="B41:B42"/>
    <mergeCell ref="B43:B44"/>
    <mergeCell ref="B45:B46"/>
    <mergeCell ref="A33:C33"/>
    <mergeCell ref="A18:A20"/>
    <mergeCell ref="A5:A17"/>
    <mergeCell ref="A2:A4"/>
    <mergeCell ref="B2:B4"/>
    <mergeCell ref="B29:B30"/>
    <mergeCell ref="A21:A22"/>
    <mergeCell ref="B26:C26"/>
    <mergeCell ref="B31:C31"/>
    <mergeCell ref="B32:C32"/>
    <mergeCell ref="A26:A32"/>
    <mergeCell ref="A23:A25"/>
    <mergeCell ref="B23:C23"/>
    <mergeCell ref="B24:C24"/>
    <mergeCell ref="B25:C25"/>
    <mergeCell ref="B27:C27"/>
    <mergeCell ref="B28:C28"/>
    <mergeCell ref="A1:C1"/>
    <mergeCell ref="B18:C18"/>
    <mergeCell ref="B19:C19"/>
    <mergeCell ref="B20:C20"/>
    <mergeCell ref="B6:B7"/>
    <mergeCell ref="B8:B9"/>
    <mergeCell ref="B10:B11"/>
  </mergeCells>
  <phoneticPr fontId="2" type="noConversion"/>
  <conditionalFormatting sqref="A95:L95">
    <cfRule type="cellIs" dxfId="14" priority="1" operator="equal">
      <formula>"Fail"</formula>
    </cfRule>
    <cfRule type="cellIs" dxfId="13" priority="2" operator="equal">
      <formula>"Pass"</formula>
    </cfRule>
  </conditionalFormatting>
  <conditionalFormatting sqref="A69:P69">
    <cfRule type="cellIs" dxfId="12" priority="4" operator="equal">
      <formula>"Fail"</formula>
    </cfRule>
    <cfRule type="cellIs" dxfId="11" priority="5" operator="equal">
      <formula>"Pass"</formula>
    </cfRule>
  </conditionalFormatting>
  <conditionalFormatting sqref="A33:XFD33">
    <cfRule type="cellIs" dxfId="10" priority="7" operator="equal">
      <formula>"Fail"</formula>
    </cfRule>
    <cfRule type="cellIs" dxfId="9" priority="8" operator="equal">
      <formula>"Pass"</formula>
    </cfRule>
  </conditionalFormatting>
  <conditionalFormatting sqref="D73:L94">
    <cfRule type="cellIs" dxfId="8" priority="3" operator="equal">
      <formula>"T"</formula>
    </cfRule>
  </conditionalFormatting>
  <conditionalFormatting sqref="D37:P68">
    <cfRule type="cellIs" dxfId="7" priority="6" operator="equal">
      <formula>"T"</formula>
    </cfRule>
  </conditionalFormatting>
  <conditionalFormatting sqref="D2:U32">
    <cfRule type="cellIs" dxfId="6" priority="9" operator="equal">
      <formula>"T"</formula>
    </cfRule>
  </conditionalFormatting>
  <dataValidations count="1">
    <dataValidation type="list" allowBlank="1" showInputMessage="1" showErrorMessage="1" sqref="D33:U33 D69:P69 D95:L95" xr:uid="{599A8F49-0351-4986-A09F-696BC8020A0C}">
      <formula1>"Pass,Fail"</formula1>
    </dataValidation>
  </dataValidations>
  <pageMargins left="0.74805557727813721" right="0.74805557727813721" top="0.98430556058883667" bottom="0.98430556058883667" header="0.51180553436279297" footer="0.51180553436279297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DE71C-9BE5-488B-B6F7-1FC4F4486167}">
  <sheetPr>
    <tabColor theme="7" tint="0.79998168889431442"/>
  </sheetPr>
  <dimension ref="A1:U26"/>
  <sheetViews>
    <sheetView workbookViewId="0">
      <pane ySplit="2" topLeftCell="A10" activePane="bottomLeft" state="frozen"/>
      <selection pane="bottomLeft" activeCell="I22" sqref="I22"/>
    </sheetView>
  </sheetViews>
  <sheetFormatPr defaultRowHeight="16.5"/>
  <cols>
    <col min="1" max="1" width="5" style="162" customWidth="1"/>
    <col min="2" max="2" width="14" style="162" customWidth="1"/>
    <col min="3" max="3" width="20" style="162" customWidth="1"/>
    <col min="4" max="4" width="10" style="162" customWidth="1"/>
    <col min="5" max="5" width="25.625" style="162" customWidth="1"/>
    <col min="6" max="7" width="40" style="162" customWidth="1"/>
    <col min="8" max="8" width="12" style="162" customWidth="1"/>
    <col min="9" max="9" width="30" style="162" customWidth="1"/>
    <col min="10" max="16384" width="9" style="161"/>
  </cols>
  <sheetData>
    <row r="1" spans="1:21" customFormat="1" ht="82.5" customHeight="1">
      <c r="A1" s="254" t="s">
        <v>426</v>
      </c>
      <c r="B1" s="255"/>
      <c r="C1" s="256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</row>
    <row r="2" spans="1:21" ht="30" customHeight="1">
      <c r="A2" s="164" t="s">
        <v>321</v>
      </c>
      <c r="B2" s="164" t="s">
        <v>322</v>
      </c>
      <c r="C2" s="164" t="s">
        <v>323</v>
      </c>
      <c r="D2" s="164" t="s">
        <v>324</v>
      </c>
      <c r="E2" s="164" t="s">
        <v>325</v>
      </c>
      <c r="F2" s="164" t="s">
        <v>326</v>
      </c>
      <c r="G2" s="164" t="s">
        <v>327</v>
      </c>
      <c r="H2" s="173" t="s">
        <v>328</v>
      </c>
      <c r="I2" s="164" t="s">
        <v>329</v>
      </c>
    </row>
    <row r="3" spans="1:21" ht="33">
      <c r="A3" s="165">
        <v>1</v>
      </c>
      <c r="B3" s="166" t="s">
        <v>330</v>
      </c>
      <c r="C3" s="165" t="s">
        <v>331</v>
      </c>
      <c r="D3" s="165" t="s">
        <v>332</v>
      </c>
      <c r="E3" s="167" t="s">
        <v>333</v>
      </c>
      <c r="F3" s="167" t="s">
        <v>334</v>
      </c>
      <c r="G3" s="167" t="s">
        <v>335</v>
      </c>
      <c r="H3" s="92" t="s">
        <v>136</v>
      </c>
      <c r="I3" s="167"/>
    </row>
    <row r="4" spans="1:21" ht="33">
      <c r="A4" s="165">
        <v>2</v>
      </c>
      <c r="B4" s="166" t="s">
        <v>330</v>
      </c>
      <c r="C4" s="165" t="s">
        <v>428</v>
      </c>
      <c r="D4" s="165" t="s">
        <v>336</v>
      </c>
      <c r="E4" s="167" t="s">
        <v>337</v>
      </c>
      <c r="F4" s="167" t="s">
        <v>338</v>
      </c>
      <c r="G4" s="167" t="s">
        <v>339</v>
      </c>
      <c r="H4" s="92" t="s">
        <v>136</v>
      </c>
      <c r="I4" s="167"/>
    </row>
    <row r="5" spans="1:21" ht="33">
      <c r="A5" s="165">
        <v>3</v>
      </c>
      <c r="B5" s="166" t="s">
        <v>330</v>
      </c>
      <c r="C5" s="165" t="s">
        <v>340</v>
      </c>
      <c r="D5" s="165" t="s">
        <v>332</v>
      </c>
      <c r="E5" s="167" t="s">
        <v>341</v>
      </c>
      <c r="F5" s="167" t="s">
        <v>342</v>
      </c>
      <c r="G5" s="167" t="s">
        <v>343</v>
      </c>
      <c r="H5" s="92" t="s">
        <v>136</v>
      </c>
      <c r="I5" s="167"/>
    </row>
    <row r="6" spans="1:21" ht="49.5">
      <c r="A6" s="165">
        <v>4</v>
      </c>
      <c r="B6" s="168" t="s">
        <v>344</v>
      </c>
      <c r="C6" s="165" t="s">
        <v>345</v>
      </c>
      <c r="D6" s="165" t="s">
        <v>346</v>
      </c>
      <c r="E6" s="167" t="s">
        <v>347</v>
      </c>
      <c r="F6" s="167" t="s">
        <v>348</v>
      </c>
      <c r="G6" s="167" t="s">
        <v>349</v>
      </c>
      <c r="H6" s="92" t="s">
        <v>136</v>
      </c>
      <c r="I6" s="167"/>
    </row>
    <row r="7" spans="1:21" ht="33">
      <c r="A7" s="165">
        <v>5</v>
      </c>
      <c r="B7" s="168" t="s">
        <v>344</v>
      </c>
      <c r="C7" s="165" t="s">
        <v>350</v>
      </c>
      <c r="D7" s="165" t="s">
        <v>346</v>
      </c>
      <c r="E7" s="167" t="s">
        <v>351</v>
      </c>
      <c r="F7" s="167" t="s">
        <v>352</v>
      </c>
      <c r="G7" s="167" t="s">
        <v>353</v>
      </c>
      <c r="H7" s="92" t="s">
        <v>136</v>
      </c>
      <c r="I7" s="167"/>
    </row>
    <row r="8" spans="1:21" ht="33">
      <c r="A8" s="165">
        <v>6</v>
      </c>
      <c r="B8" s="168" t="s">
        <v>344</v>
      </c>
      <c r="C8" s="165" t="s">
        <v>354</v>
      </c>
      <c r="D8" s="165" t="s">
        <v>332</v>
      </c>
      <c r="E8" s="167" t="s">
        <v>351</v>
      </c>
      <c r="F8" s="167" t="s">
        <v>355</v>
      </c>
      <c r="G8" s="167" t="s">
        <v>356</v>
      </c>
      <c r="H8" s="92" t="s">
        <v>136</v>
      </c>
      <c r="I8" s="167"/>
    </row>
    <row r="9" spans="1:21" ht="33">
      <c r="A9" s="165">
        <v>7</v>
      </c>
      <c r="B9" s="168" t="s">
        <v>344</v>
      </c>
      <c r="C9" s="165" t="s">
        <v>357</v>
      </c>
      <c r="D9" s="165" t="s">
        <v>336</v>
      </c>
      <c r="E9" s="167" t="s">
        <v>351</v>
      </c>
      <c r="F9" s="167" t="s">
        <v>358</v>
      </c>
      <c r="G9" s="167" t="s">
        <v>359</v>
      </c>
      <c r="H9" s="92" t="s">
        <v>136</v>
      </c>
      <c r="I9" s="167"/>
    </row>
    <row r="10" spans="1:21" ht="33">
      <c r="A10" s="165">
        <v>8</v>
      </c>
      <c r="B10" s="169" t="s">
        <v>360</v>
      </c>
      <c r="C10" s="165" t="s">
        <v>361</v>
      </c>
      <c r="D10" s="165" t="s">
        <v>346</v>
      </c>
      <c r="E10" s="167" t="s">
        <v>362</v>
      </c>
      <c r="F10" s="167" t="s">
        <v>363</v>
      </c>
      <c r="G10" s="167" t="s">
        <v>364</v>
      </c>
      <c r="H10" s="92" t="s">
        <v>136</v>
      </c>
      <c r="I10" s="167"/>
    </row>
    <row r="11" spans="1:21" ht="33">
      <c r="A11" s="165">
        <v>9</v>
      </c>
      <c r="B11" s="169" t="s">
        <v>360</v>
      </c>
      <c r="C11" s="165" t="s">
        <v>365</v>
      </c>
      <c r="D11" s="165" t="s">
        <v>332</v>
      </c>
      <c r="E11" s="167" t="s">
        <v>337</v>
      </c>
      <c r="F11" s="167" t="s">
        <v>366</v>
      </c>
      <c r="G11" s="167" t="s">
        <v>367</v>
      </c>
      <c r="H11" s="92" t="s">
        <v>136</v>
      </c>
      <c r="I11" s="167"/>
    </row>
    <row r="12" spans="1:21" ht="33">
      <c r="A12" s="165">
        <v>10</v>
      </c>
      <c r="B12" s="169" t="s">
        <v>360</v>
      </c>
      <c r="C12" s="165" t="s">
        <v>368</v>
      </c>
      <c r="D12" s="165" t="s">
        <v>332</v>
      </c>
      <c r="E12" s="167" t="s">
        <v>337</v>
      </c>
      <c r="F12" s="167" t="s">
        <v>369</v>
      </c>
      <c r="G12" s="167" t="s">
        <v>370</v>
      </c>
      <c r="H12" s="92" t="s">
        <v>136</v>
      </c>
      <c r="I12" s="167"/>
    </row>
    <row r="13" spans="1:21" ht="49.5">
      <c r="A13" s="165">
        <v>11</v>
      </c>
      <c r="B13" s="169" t="s">
        <v>360</v>
      </c>
      <c r="C13" s="165" t="s">
        <v>371</v>
      </c>
      <c r="D13" s="165" t="s">
        <v>332</v>
      </c>
      <c r="E13" s="167" t="s">
        <v>372</v>
      </c>
      <c r="F13" s="167" t="s">
        <v>373</v>
      </c>
      <c r="G13" s="167" t="s">
        <v>374</v>
      </c>
      <c r="H13" s="92" t="s">
        <v>136</v>
      </c>
      <c r="I13" s="167"/>
    </row>
    <row r="14" spans="1:21" ht="33">
      <c r="A14" s="165">
        <v>12</v>
      </c>
      <c r="B14" s="170" t="s">
        <v>375</v>
      </c>
      <c r="C14" s="165" t="s">
        <v>376</v>
      </c>
      <c r="D14" s="165" t="s">
        <v>377</v>
      </c>
      <c r="E14" s="167" t="s">
        <v>378</v>
      </c>
      <c r="F14" s="167" t="s">
        <v>379</v>
      </c>
      <c r="G14" s="167" t="s">
        <v>380</v>
      </c>
      <c r="H14" s="92" t="s">
        <v>136</v>
      </c>
      <c r="I14" s="167" t="s">
        <v>381</v>
      </c>
    </row>
    <row r="15" spans="1:21" ht="49.5">
      <c r="A15" s="174">
        <v>13</v>
      </c>
      <c r="B15" s="170" t="s">
        <v>375</v>
      </c>
      <c r="C15" s="174" t="s">
        <v>382</v>
      </c>
      <c r="D15" s="174" t="s">
        <v>377</v>
      </c>
      <c r="E15" s="175" t="s">
        <v>383</v>
      </c>
      <c r="F15" s="175" t="s">
        <v>384</v>
      </c>
      <c r="G15" s="175" t="s">
        <v>441</v>
      </c>
      <c r="H15" s="106" t="s">
        <v>137</v>
      </c>
      <c r="I15" s="175" t="s">
        <v>445</v>
      </c>
    </row>
    <row r="16" spans="1:21" ht="33">
      <c r="A16" s="165">
        <v>14</v>
      </c>
      <c r="B16" s="170" t="s">
        <v>375</v>
      </c>
      <c r="C16" s="165" t="s">
        <v>385</v>
      </c>
      <c r="D16" s="165" t="s">
        <v>346</v>
      </c>
      <c r="E16" s="167" t="s">
        <v>386</v>
      </c>
      <c r="F16" s="167" t="s">
        <v>387</v>
      </c>
      <c r="G16" s="167" t="s">
        <v>388</v>
      </c>
      <c r="H16" s="92" t="s">
        <v>136</v>
      </c>
      <c r="I16" s="167"/>
    </row>
    <row r="17" spans="1:9" ht="33">
      <c r="A17" s="165">
        <v>15</v>
      </c>
      <c r="B17" s="170" t="s">
        <v>375</v>
      </c>
      <c r="C17" s="165" t="s">
        <v>389</v>
      </c>
      <c r="D17" s="165" t="s">
        <v>346</v>
      </c>
      <c r="E17" s="167" t="s">
        <v>390</v>
      </c>
      <c r="F17" s="167" t="s">
        <v>391</v>
      </c>
      <c r="G17" s="167" t="s">
        <v>392</v>
      </c>
      <c r="H17" s="92" t="s">
        <v>136</v>
      </c>
      <c r="I17" s="167"/>
    </row>
    <row r="18" spans="1:9" ht="33">
      <c r="A18" s="165">
        <v>16</v>
      </c>
      <c r="B18" s="171" t="s">
        <v>320</v>
      </c>
      <c r="C18" s="165" t="s">
        <v>393</v>
      </c>
      <c r="D18" s="165" t="s">
        <v>332</v>
      </c>
      <c r="E18" s="167" t="s">
        <v>394</v>
      </c>
      <c r="F18" s="167" t="s">
        <v>395</v>
      </c>
      <c r="G18" s="167" t="s">
        <v>396</v>
      </c>
      <c r="H18" s="92" t="s">
        <v>136</v>
      </c>
      <c r="I18" s="167"/>
    </row>
    <row r="19" spans="1:9" ht="33">
      <c r="A19" s="165">
        <v>17</v>
      </c>
      <c r="B19" s="171" t="s">
        <v>320</v>
      </c>
      <c r="C19" s="165" t="s">
        <v>397</v>
      </c>
      <c r="D19" s="165" t="s">
        <v>332</v>
      </c>
      <c r="E19" s="167" t="s">
        <v>372</v>
      </c>
      <c r="F19" s="167" t="s">
        <v>398</v>
      </c>
      <c r="G19" s="167" t="s">
        <v>399</v>
      </c>
      <c r="H19" s="92" t="s">
        <v>136</v>
      </c>
      <c r="I19" s="167"/>
    </row>
    <row r="20" spans="1:9" ht="33">
      <c r="A20" s="165">
        <v>18</v>
      </c>
      <c r="B20" s="171" t="s">
        <v>320</v>
      </c>
      <c r="C20" s="165" t="s">
        <v>400</v>
      </c>
      <c r="D20" s="165" t="s">
        <v>346</v>
      </c>
      <c r="E20" s="167" t="s">
        <v>401</v>
      </c>
      <c r="F20" s="167" t="s">
        <v>402</v>
      </c>
      <c r="G20" s="167" t="s">
        <v>403</v>
      </c>
      <c r="H20" s="92" t="s">
        <v>136</v>
      </c>
      <c r="I20" s="167"/>
    </row>
    <row r="21" spans="1:9" ht="49.5">
      <c r="A21" s="174">
        <v>19</v>
      </c>
      <c r="B21" s="171" t="s">
        <v>320</v>
      </c>
      <c r="C21" s="174" t="s">
        <v>404</v>
      </c>
      <c r="D21" s="174" t="s">
        <v>346</v>
      </c>
      <c r="E21" s="175" t="s">
        <v>405</v>
      </c>
      <c r="F21" s="175" t="s">
        <v>406</v>
      </c>
      <c r="G21" s="175" t="s">
        <v>407</v>
      </c>
      <c r="H21" s="106" t="s">
        <v>137</v>
      </c>
      <c r="I21" s="175" t="s">
        <v>444</v>
      </c>
    </row>
    <row r="22" spans="1:9" ht="49.5">
      <c r="A22" s="174">
        <v>20</v>
      </c>
      <c r="B22" s="171" t="s">
        <v>320</v>
      </c>
      <c r="C22" s="174" t="s">
        <v>442</v>
      </c>
      <c r="D22" s="174" t="s">
        <v>346</v>
      </c>
      <c r="E22" s="175" t="s">
        <v>447</v>
      </c>
      <c r="F22" s="175" t="s">
        <v>446</v>
      </c>
      <c r="G22" s="175" t="s">
        <v>450</v>
      </c>
      <c r="H22" s="106" t="s">
        <v>137</v>
      </c>
      <c r="I22" s="175" t="s">
        <v>443</v>
      </c>
    </row>
    <row r="23" spans="1:9" ht="33">
      <c r="A23" s="165">
        <v>21</v>
      </c>
      <c r="B23" s="172" t="s">
        <v>409</v>
      </c>
      <c r="C23" s="165" t="s">
        <v>410</v>
      </c>
      <c r="D23" s="165" t="s">
        <v>346</v>
      </c>
      <c r="E23" s="167" t="s">
        <v>411</v>
      </c>
      <c r="F23" s="167" t="s">
        <v>412</v>
      </c>
      <c r="G23" s="167" t="s">
        <v>413</v>
      </c>
      <c r="H23" s="92" t="s">
        <v>136</v>
      </c>
      <c r="I23" s="167"/>
    </row>
    <row r="24" spans="1:9" ht="33">
      <c r="A24" s="165">
        <v>22</v>
      </c>
      <c r="B24" s="172" t="s">
        <v>409</v>
      </c>
      <c r="C24" s="165" t="s">
        <v>414</v>
      </c>
      <c r="D24" s="165" t="s">
        <v>332</v>
      </c>
      <c r="E24" s="167" t="s">
        <v>415</v>
      </c>
      <c r="F24" s="167" t="s">
        <v>416</v>
      </c>
      <c r="G24" s="167" t="s">
        <v>417</v>
      </c>
      <c r="H24" s="92" t="s">
        <v>136</v>
      </c>
      <c r="I24" s="167"/>
    </row>
    <row r="25" spans="1:9" ht="33">
      <c r="A25" s="165">
        <v>23</v>
      </c>
      <c r="B25" s="172" t="s">
        <v>409</v>
      </c>
      <c r="C25" s="165" t="s">
        <v>418</v>
      </c>
      <c r="D25" s="165" t="s">
        <v>336</v>
      </c>
      <c r="E25" s="167" t="s">
        <v>419</v>
      </c>
      <c r="F25" s="167" t="s">
        <v>420</v>
      </c>
      <c r="G25" s="167" t="s">
        <v>421</v>
      </c>
      <c r="H25" s="92" t="s">
        <v>136</v>
      </c>
      <c r="I25" s="167"/>
    </row>
    <row r="26" spans="1:9" ht="33">
      <c r="A26" s="165">
        <v>24</v>
      </c>
      <c r="B26" s="172" t="s">
        <v>409</v>
      </c>
      <c r="C26" s="165" t="s">
        <v>422</v>
      </c>
      <c r="D26" s="165" t="s">
        <v>377</v>
      </c>
      <c r="E26" s="167" t="s">
        <v>423</v>
      </c>
      <c r="F26" s="167" t="s">
        <v>424</v>
      </c>
      <c r="G26" s="167" t="s">
        <v>425</v>
      </c>
      <c r="H26" s="92" t="s">
        <v>136</v>
      </c>
      <c r="I26" s="167"/>
    </row>
  </sheetData>
  <autoFilter ref="A2:I26" xr:uid="{00000000-0009-0000-0000-000008000000}"/>
  <mergeCells count="1">
    <mergeCell ref="A1:C1"/>
  </mergeCells>
  <phoneticPr fontId="2" type="noConversion"/>
  <conditionalFormatting sqref="H3:H26">
    <cfRule type="cellIs" dxfId="5" priority="1" operator="equal">
      <formula>"Fail"</formula>
    </cfRule>
    <cfRule type="cellIs" dxfId="4" priority="2" operator="equal">
      <formula>"Pass"</formula>
    </cfRule>
  </conditionalFormatting>
  <dataValidations count="1">
    <dataValidation type="list" allowBlank="1" showInputMessage="1" showErrorMessage="1" sqref="H3:H26" xr:uid="{A008CB3B-E9E6-4AEC-8CD3-6EAA115FDC81}">
      <formula1>"Pass,Fail"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6D66-2D46-4ACC-ABDC-0369123238EE}">
  <sheetPr>
    <tabColor theme="8" tint="0.79998168889431442"/>
  </sheetPr>
  <dimension ref="A1:L31"/>
  <sheetViews>
    <sheetView workbookViewId="0">
      <selection activeCell="F12" sqref="F12"/>
    </sheetView>
  </sheetViews>
  <sheetFormatPr defaultRowHeight="16.5"/>
  <cols>
    <col min="1" max="1" width="9" style="1"/>
    <col min="2" max="2" width="18.75" style="1" bestFit="1" customWidth="1"/>
    <col min="3" max="4" width="9" style="1"/>
    <col min="5" max="5" width="13" style="1" bestFit="1" customWidth="1"/>
    <col min="6" max="6" width="57.5" customWidth="1"/>
    <col min="7" max="7" width="24" bestFit="1" customWidth="1"/>
    <col min="8" max="8" width="26.5" style="1" bestFit="1" customWidth="1"/>
    <col min="9" max="9" width="18.375" style="1" bestFit="1" customWidth="1"/>
  </cols>
  <sheetData>
    <row r="1" spans="1:12" ht="65.25" customHeight="1" thickBot="1">
      <c r="A1" s="265" t="s">
        <v>238</v>
      </c>
      <c r="B1" s="265"/>
      <c r="C1" s="265"/>
      <c r="D1" s="265"/>
      <c r="E1" s="265"/>
    </row>
    <row r="2" spans="1:12" ht="17.25" thickBot="1">
      <c r="A2" s="97" t="s">
        <v>104</v>
      </c>
      <c r="B2" s="98" t="s">
        <v>103</v>
      </c>
      <c r="C2" s="98" t="s">
        <v>106</v>
      </c>
      <c r="D2" s="98" t="s">
        <v>110</v>
      </c>
      <c r="E2" s="98" t="s">
        <v>114</v>
      </c>
      <c r="F2" s="98" t="s">
        <v>105</v>
      </c>
      <c r="G2" s="98" t="s">
        <v>192</v>
      </c>
      <c r="H2" s="98" t="s">
        <v>194</v>
      </c>
      <c r="I2" s="99" t="s">
        <v>131</v>
      </c>
      <c r="K2" s="257" t="s">
        <v>191</v>
      </c>
      <c r="L2" s="258"/>
    </row>
    <row r="3" spans="1:12">
      <c r="A3" s="90">
        <v>1</v>
      </c>
      <c r="B3" s="91" t="s">
        <v>162</v>
      </c>
      <c r="C3" s="92">
        <v>1</v>
      </c>
      <c r="D3" s="91" t="s">
        <v>111</v>
      </c>
      <c r="E3" s="91" t="s">
        <v>111</v>
      </c>
      <c r="F3" s="93" t="s">
        <v>118</v>
      </c>
      <c r="G3" s="93"/>
      <c r="H3" s="91" t="s">
        <v>205</v>
      </c>
      <c r="I3" s="100" t="s">
        <v>136</v>
      </c>
    </row>
    <row r="4" spans="1:12">
      <c r="A4" s="90">
        <v>2</v>
      </c>
      <c r="B4" s="91" t="s">
        <v>163</v>
      </c>
      <c r="C4" s="266">
        <v>2</v>
      </c>
      <c r="D4" s="268" t="s">
        <v>112</v>
      </c>
      <c r="E4" s="91" t="s">
        <v>112</v>
      </c>
      <c r="F4" s="94" t="s">
        <v>108</v>
      </c>
      <c r="G4" s="94"/>
      <c r="H4" s="91"/>
      <c r="I4" s="100" t="s">
        <v>136</v>
      </c>
    </row>
    <row r="5" spans="1:12">
      <c r="A5" s="90">
        <v>3</v>
      </c>
      <c r="B5" s="91" t="s">
        <v>164</v>
      </c>
      <c r="C5" s="266"/>
      <c r="D5" s="268"/>
      <c r="E5" s="91" t="s">
        <v>115</v>
      </c>
      <c r="F5" s="94" t="s">
        <v>119</v>
      </c>
      <c r="G5" s="94"/>
      <c r="H5" s="91"/>
      <c r="I5" s="100" t="s">
        <v>136</v>
      </c>
    </row>
    <row r="6" spans="1:12">
      <c r="A6" s="90">
        <v>4</v>
      </c>
      <c r="B6" s="91" t="s">
        <v>217</v>
      </c>
      <c r="C6" s="266"/>
      <c r="D6" s="268"/>
      <c r="E6" s="91" t="s">
        <v>188</v>
      </c>
      <c r="F6" s="94" t="s">
        <v>189</v>
      </c>
      <c r="G6" s="91" t="s">
        <v>193</v>
      </c>
      <c r="H6" s="91" t="s">
        <v>195</v>
      </c>
      <c r="I6" s="100" t="s">
        <v>137</v>
      </c>
    </row>
    <row r="7" spans="1:12">
      <c r="A7" s="90">
        <v>5</v>
      </c>
      <c r="B7" s="91" t="s">
        <v>218</v>
      </c>
      <c r="C7" s="266"/>
      <c r="D7" s="268"/>
      <c r="E7" s="91" t="s">
        <v>188</v>
      </c>
      <c r="F7" s="94" t="s">
        <v>190</v>
      </c>
      <c r="G7" s="91" t="s">
        <v>196</v>
      </c>
      <c r="H7" s="91" t="s">
        <v>197</v>
      </c>
      <c r="I7" s="100" t="s">
        <v>136</v>
      </c>
    </row>
    <row r="8" spans="1:12">
      <c r="A8" s="90">
        <v>6</v>
      </c>
      <c r="B8" s="91" t="s">
        <v>165</v>
      </c>
      <c r="C8" s="262">
        <v>3</v>
      </c>
      <c r="D8" s="259" t="s">
        <v>112</v>
      </c>
      <c r="E8" s="91" t="s">
        <v>112</v>
      </c>
      <c r="F8" s="94" t="s">
        <v>109</v>
      </c>
      <c r="G8" s="94"/>
      <c r="H8" s="91"/>
      <c r="I8" s="100" t="s">
        <v>136</v>
      </c>
    </row>
    <row r="9" spans="1:12">
      <c r="A9" s="90">
        <v>7</v>
      </c>
      <c r="B9" s="91" t="s">
        <v>166</v>
      </c>
      <c r="C9" s="263"/>
      <c r="D9" s="260"/>
      <c r="E9" s="91" t="s">
        <v>115</v>
      </c>
      <c r="F9" s="94" t="s">
        <v>119</v>
      </c>
      <c r="G9" s="94"/>
      <c r="H9" s="91"/>
      <c r="I9" s="100" t="s">
        <v>136</v>
      </c>
    </row>
    <row r="10" spans="1:12" ht="27.75">
      <c r="A10" s="90">
        <v>8</v>
      </c>
      <c r="B10" s="91" t="s">
        <v>219</v>
      </c>
      <c r="C10" s="263"/>
      <c r="D10" s="260"/>
      <c r="E10" s="91" t="s">
        <v>188</v>
      </c>
      <c r="F10" s="109" t="s">
        <v>203</v>
      </c>
      <c r="G10" s="1" t="s">
        <v>198</v>
      </c>
      <c r="H10" s="91" t="s">
        <v>199</v>
      </c>
      <c r="I10" s="100" t="s">
        <v>137</v>
      </c>
    </row>
    <row r="11" spans="1:12" ht="27.75">
      <c r="A11" s="90">
        <v>9</v>
      </c>
      <c r="B11" s="91" t="s">
        <v>220</v>
      </c>
      <c r="C11" s="263"/>
      <c r="D11" s="260"/>
      <c r="E11" s="91" t="s">
        <v>200</v>
      </c>
      <c r="F11" s="109" t="s">
        <v>204</v>
      </c>
      <c r="G11" s="91" t="s">
        <v>201</v>
      </c>
      <c r="H11" s="91" t="s">
        <v>202</v>
      </c>
      <c r="I11" s="100" t="s">
        <v>136</v>
      </c>
    </row>
    <row r="12" spans="1:12" ht="28.5">
      <c r="A12" s="90">
        <v>10</v>
      </c>
      <c r="B12" s="91" t="s">
        <v>433</v>
      </c>
      <c r="C12" s="264"/>
      <c r="D12" s="261"/>
      <c r="E12" s="91" t="s">
        <v>213</v>
      </c>
      <c r="F12" s="109" t="s">
        <v>214</v>
      </c>
      <c r="G12" s="91" t="s">
        <v>215</v>
      </c>
      <c r="H12" s="91" t="s">
        <v>216</v>
      </c>
      <c r="I12" s="100" t="s">
        <v>137</v>
      </c>
    </row>
    <row r="13" spans="1:12">
      <c r="A13" s="90">
        <v>11</v>
      </c>
      <c r="B13" s="91" t="s">
        <v>167</v>
      </c>
      <c r="C13" s="266">
        <v>4</v>
      </c>
      <c r="D13" s="268" t="s">
        <v>113</v>
      </c>
      <c r="E13" s="91" t="s">
        <v>111</v>
      </c>
      <c r="F13" s="93" t="s">
        <v>117</v>
      </c>
      <c r="G13" s="93"/>
      <c r="H13" s="91" t="s">
        <v>206</v>
      </c>
      <c r="I13" s="100" t="s">
        <v>136</v>
      </c>
    </row>
    <row r="14" spans="1:12">
      <c r="A14" s="90">
        <v>12</v>
      </c>
      <c r="B14" s="91" t="s">
        <v>168</v>
      </c>
      <c r="C14" s="266"/>
      <c r="D14" s="268"/>
      <c r="E14" s="91" t="s">
        <v>115</v>
      </c>
      <c r="F14" s="94" t="s">
        <v>116</v>
      </c>
      <c r="G14" s="94"/>
      <c r="H14" s="91"/>
      <c r="I14" s="100" t="s">
        <v>136</v>
      </c>
    </row>
    <row r="15" spans="1:12">
      <c r="A15" s="90">
        <v>13</v>
      </c>
      <c r="B15" s="91" t="s">
        <v>169</v>
      </c>
      <c r="C15" s="266"/>
      <c r="D15" s="268"/>
      <c r="E15" s="91" t="s">
        <v>120</v>
      </c>
      <c r="F15" s="94" t="s">
        <v>122</v>
      </c>
      <c r="G15" s="94"/>
      <c r="H15" s="91"/>
      <c r="I15" s="100" t="s">
        <v>136</v>
      </c>
    </row>
    <row r="16" spans="1:12">
      <c r="A16" s="90">
        <v>14</v>
      </c>
      <c r="B16" s="91" t="s">
        <v>170</v>
      </c>
      <c r="C16" s="266"/>
      <c r="D16" s="268"/>
      <c r="E16" s="91" t="s">
        <v>120</v>
      </c>
      <c r="F16" s="94" t="s">
        <v>121</v>
      </c>
      <c r="G16" s="94"/>
      <c r="H16" s="91"/>
      <c r="I16" s="100" t="s">
        <v>136</v>
      </c>
    </row>
    <row r="17" spans="1:9">
      <c r="A17" s="90">
        <v>15</v>
      </c>
      <c r="B17" s="91" t="s">
        <v>171</v>
      </c>
      <c r="C17" s="266"/>
      <c r="D17" s="268"/>
      <c r="E17" s="91" t="s">
        <v>120</v>
      </c>
      <c r="F17" s="94" t="s">
        <v>123</v>
      </c>
      <c r="G17" s="94"/>
      <c r="H17" s="91"/>
      <c r="I17" s="100" t="s">
        <v>137</v>
      </c>
    </row>
    <row r="18" spans="1:9">
      <c r="A18" s="90">
        <v>16</v>
      </c>
      <c r="B18" s="91" t="s">
        <v>172</v>
      </c>
      <c r="C18" s="266">
        <v>5</v>
      </c>
      <c r="D18" s="268" t="s">
        <v>113</v>
      </c>
      <c r="E18" s="91" t="s">
        <v>111</v>
      </c>
      <c r="F18" s="93" t="s">
        <v>124</v>
      </c>
      <c r="G18" s="93"/>
      <c r="H18" s="91" t="s">
        <v>207</v>
      </c>
      <c r="I18" s="100" t="s">
        <v>136</v>
      </c>
    </row>
    <row r="19" spans="1:9">
      <c r="A19" s="90">
        <v>17</v>
      </c>
      <c r="B19" s="91" t="s">
        <v>173</v>
      </c>
      <c r="C19" s="266"/>
      <c r="D19" s="268"/>
      <c r="E19" s="91" t="s">
        <v>115</v>
      </c>
      <c r="F19" s="94" t="s">
        <v>116</v>
      </c>
      <c r="G19" s="94"/>
      <c r="H19" s="91"/>
      <c r="I19" s="100" t="s">
        <v>136</v>
      </c>
    </row>
    <row r="20" spans="1:9">
      <c r="A20" s="90">
        <v>18</v>
      </c>
      <c r="B20" s="91" t="s">
        <v>174</v>
      </c>
      <c r="C20" s="266"/>
      <c r="D20" s="268"/>
      <c r="E20" s="91" t="s">
        <v>120</v>
      </c>
      <c r="F20" s="94" t="s">
        <v>125</v>
      </c>
      <c r="G20" s="94"/>
      <c r="H20" s="91"/>
      <c r="I20" s="100" t="s">
        <v>136</v>
      </c>
    </row>
    <row r="21" spans="1:9">
      <c r="A21" s="90">
        <v>19</v>
      </c>
      <c r="B21" s="91" t="s">
        <v>175</v>
      </c>
      <c r="C21" s="266"/>
      <c r="D21" s="268"/>
      <c r="E21" s="91" t="s">
        <v>120</v>
      </c>
      <c r="F21" s="94" t="s">
        <v>126</v>
      </c>
      <c r="G21" s="94"/>
      <c r="H21" s="91"/>
      <c r="I21" s="100" t="s">
        <v>136</v>
      </c>
    </row>
    <row r="22" spans="1:9">
      <c r="A22" s="90">
        <v>20</v>
      </c>
      <c r="B22" s="91" t="s">
        <v>176</v>
      </c>
      <c r="C22" s="266"/>
      <c r="D22" s="268"/>
      <c r="E22" s="91" t="s">
        <v>120</v>
      </c>
      <c r="F22" s="94" t="s">
        <v>127</v>
      </c>
      <c r="G22" s="94"/>
      <c r="H22" s="91"/>
      <c r="I22" s="100" t="s">
        <v>136</v>
      </c>
    </row>
    <row r="23" spans="1:9">
      <c r="A23" s="90">
        <v>21</v>
      </c>
      <c r="B23" s="91" t="s">
        <v>177</v>
      </c>
      <c r="C23" s="266">
        <v>6</v>
      </c>
      <c r="D23" s="268" t="s">
        <v>113</v>
      </c>
      <c r="E23" s="91" t="s">
        <v>111</v>
      </c>
      <c r="F23" s="93" t="s">
        <v>128</v>
      </c>
      <c r="G23" s="93"/>
      <c r="H23" s="91" t="s">
        <v>208</v>
      </c>
      <c r="I23" s="100" t="s">
        <v>136</v>
      </c>
    </row>
    <row r="24" spans="1:9">
      <c r="A24" s="90">
        <v>22</v>
      </c>
      <c r="B24" s="91" t="s">
        <v>178</v>
      </c>
      <c r="C24" s="266"/>
      <c r="D24" s="268"/>
      <c r="E24" s="91" t="s">
        <v>115</v>
      </c>
      <c r="F24" s="94" t="s">
        <v>116</v>
      </c>
      <c r="G24" s="94"/>
      <c r="H24" s="91"/>
      <c r="I24" s="100" t="s">
        <v>136</v>
      </c>
    </row>
    <row r="25" spans="1:9">
      <c r="A25" s="90">
        <v>23</v>
      </c>
      <c r="B25" s="91" t="s">
        <v>179</v>
      </c>
      <c r="C25" s="266"/>
      <c r="D25" s="268"/>
      <c r="E25" s="91" t="s">
        <v>120</v>
      </c>
      <c r="F25" s="94" t="s">
        <v>125</v>
      </c>
      <c r="G25" s="94"/>
      <c r="H25" s="91"/>
      <c r="I25" s="100" t="s">
        <v>136</v>
      </c>
    </row>
    <row r="26" spans="1:9">
      <c r="A26" s="90">
        <v>24</v>
      </c>
      <c r="B26" s="91" t="s">
        <v>180</v>
      </c>
      <c r="C26" s="266"/>
      <c r="D26" s="268"/>
      <c r="E26" s="91" t="s">
        <v>120</v>
      </c>
      <c r="F26" s="94" t="s">
        <v>126</v>
      </c>
      <c r="G26" s="94"/>
      <c r="H26" s="91"/>
      <c r="I26" s="100" t="s">
        <v>136</v>
      </c>
    </row>
    <row r="27" spans="1:9">
      <c r="A27" s="90">
        <v>25</v>
      </c>
      <c r="B27" s="91" t="s">
        <v>181</v>
      </c>
      <c r="C27" s="266"/>
      <c r="D27" s="268"/>
      <c r="E27" s="91" t="s">
        <v>120</v>
      </c>
      <c r="F27" s="94" t="s">
        <v>127</v>
      </c>
      <c r="G27" s="94"/>
      <c r="H27" s="91"/>
      <c r="I27" s="100" t="s">
        <v>137</v>
      </c>
    </row>
    <row r="28" spans="1:9">
      <c r="A28" s="90">
        <v>26</v>
      </c>
      <c r="B28" s="91" t="s">
        <v>182</v>
      </c>
      <c r="C28" s="266">
        <v>7</v>
      </c>
      <c r="D28" s="268" t="s">
        <v>129</v>
      </c>
      <c r="E28" s="91" t="s">
        <v>107</v>
      </c>
      <c r="F28" s="94" t="s">
        <v>132</v>
      </c>
      <c r="G28" s="94"/>
      <c r="H28" s="91"/>
      <c r="I28" s="100" t="s">
        <v>136</v>
      </c>
    </row>
    <row r="29" spans="1:9">
      <c r="A29" s="90">
        <v>27</v>
      </c>
      <c r="B29" s="91" t="s">
        <v>183</v>
      </c>
      <c r="C29" s="266"/>
      <c r="D29" s="268"/>
      <c r="E29" s="91" t="s">
        <v>120</v>
      </c>
      <c r="F29" s="94" t="s">
        <v>135</v>
      </c>
      <c r="G29" s="94"/>
      <c r="H29" s="91"/>
      <c r="I29" s="100" t="s">
        <v>136</v>
      </c>
    </row>
    <row r="30" spans="1:9">
      <c r="A30" s="90">
        <v>28</v>
      </c>
      <c r="B30" s="91" t="s">
        <v>184</v>
      </c>
      <c r="C30" s="266">
        <v>8</v>
      </c>
      <c r="D30" s="268" t="s">
        <v>130</v>
      </c>
      <c r="E30" s="91" t="s">
        <v>107</v>
      </c>
      <c r="F30" s="94" t="s">
        <v>133</v>
      </c>
      <c r="G30" s="94"/>
      <c r="H30" s="91"/>
      <c r="I30" s="100" t="s">
        <v>136</v>
      </c>
    </row>
    <row r="31" spans="1:9" ht="17.25" thickBot="1">
      <c r="A31" s="90">
        <v>29</v>
      </c>
      <c r="B31" s="95" t="s">
        <v>185</v>
      </c>
      <c r="C31" s="267"/>
      <c r="D31" s="269"/>
      <c r="E31" s="95" t="s">
        <v>120</v>
      </c>
      <c r="F31" s="96" t="s">
        <v>134</v>
      </c>
      <c r="G31" s="96"/>
      <c r="H31" s="95"/>
      <c r="I31" s="101" t="s">
        <v>136</v>
      </c>
    </row>
  </sheetData>
  <mergeCells count="16">
    <mergeCell ref="K2:L2"/>
    <mergeCell ref="D8:D12"/>
    <mergeCell ref="C8:C12"/>
    <mergeCell ref="A1:E1"/>
    <mergeCell ref="C30:C31"/>
    <mergeCell ref="D4:D7"/>
    <mergeCell ref="D13:D17"/>
    <mergeCell ref="D18:D22"/>
    <mergeCell ref="D23:D27"/>
    <mergeCell ref="D28:D29"/>
    <mergeCell ref="D30:D31"/>
    <mergeCell ref="C4:C7"/>
    <mergeCell ref="C13:C17"/>
    <mergeCell ref="C18:C22"/>
    <mergeCell ref="C23:C27"/>
    <mergeCell ref="C28:C29"/>
  </mergeCells>
  <phoneticPr fontId="2" type="noConversion"/>
  <conditionalFormatting sqref="I3:I31">
    <cfRule type="cellIs" dxfId="3" priority="1" operator="equal">
      <formula>"Fail"</formula>
    </cfRule>
    <cfRule type="cellIs" dxfId="2" priority="2" operator="equal">
      <formula>"Pass"</formula>
    </cfRule>
  </conditionalFormatting>
  <dataValidations count="1">
    <dataValidation type="list" allowBlank="1" showInputMessage="1" showErrorMessage="1" sqref="I3:I31" xr:uid="{60205671-05CB-4E65-AC8C-C4A637457039}">
      <formula1>"Pass,Fail"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E2D77-A93A-47DD-AB23-D9FDD3515327}">
  <sheetPr>
    <tabColor theme="9" tint="0.79998168889431442"/>
  </sheetPr>
  <dimension ref="A1:F24"/>
  <sheetViews>
    <sheetView topLeftCell="A6" workbookViewId="0">
      <selection activeCell="D13" sqref="D13"/>
    </sheetView>
  </sheetViews>
  <sheetFormatPr defaultRowHeight="16.5"/>
  <cols>
    <col min="1" max="1" width="13.875" customWidth="1"/>
    <col min="2" max="2" width="55.5" customWidth="1"/>
    <col min="3" max="5" width="42.625" customWidth="1"/>
    <col min="6" max="6" width="40.375" bestFit="1" customWidth="1"/>
  </cols>
  <sheetData>
    <row r="1" spans="1:6" ht="27.75" thickBot="1">
      <c r="A1" s="186" t="s">
        <v>429</v>
      </c>
      <c r="B1" s="187"/>
      <c r="C1" s="188"/>
    </row>
    <row r="2" spans="1:6">
      <c r="A2" s="139" t="s">
        <v>242</v>
      </c>
      <c r="B2" s="270" t="s">
        <v>243</v>
      </c>
      <c r="C2" s="271"/>
      <c r="D2" s="159" t="s">
        <v>315</v>
      </c>
    </row>
    <row r="3" spans="1:6" ht="17.25" thickBot="1">
      <c r="A3" s="140" t="s">
        <v>244</v>
      </c>
      <c r="B3" s="272" t="s">
        <v>289</v>
      </c>
      <c r="C3" s="273"/>
      <c r="D3" s="160" t="s">
        <v>136</v>
      </c>
    </row>
    <row r="4" spans="1:6">
      <c r="A4" s="140" t="s">
        <v>246</v>
      </c>
      <c r="B4" s="274" t="s">
        <v>302</v>
      </c>
      <c r="C4" s="275"/>
    </row>
    <row r="5" spans="1:6" ht="17.25" thickBot="1">
      <c r="A5" s="141" t="s">
        <v>245</v>
      </c>
      <c r="B5" s="276" t="s">
        <v>249</v>
      </c>
      <c r="C5" s="277"/>
    </row>
    <row r="6" spans="1:6" ht="17.25" thickBot="1"/>
    <row r="7" spans="1:6" ht="17.25" thickBot="1">
      <c r="A7" s="142" t="s">
        <v>239</v>
      </c>
      <c r="B7" s="143" t="s">
        <v>240</v>
      </c>
      <c r="C7" s="143" t="s">
        <v>247</v>
      </c>
      <c r="D7" s="143" t="s">
        <v>248</v>
      </c>
      <c r="E7" s="143" t="s">
        <v>256</v>
      </c>
      <c r="F7" s="144" t="s">
        <v>259</v>
      </c>
    </row>
    <row r="8" spans="1:6" ht="33">
      <c r="A8" s="145">
        <v>1</v>
      </c>
      <c r="B8" s="146" t="s">
        <v>250</v>
      </c>
      <c r="C8" s="8" t="s">
        <v>28</v>
      </c>
      <c r="D8" s="147" t="s">
        <v>257</v>
      </c>
      <c r="E8" s="158"/>
      <c r="F8" s="148"/>
    </row>
    <row r="9" spans="1:6">
      <c r="A9" s="149">
        <v>2</v>
      </c>
      <c r="B9" s="137" t="s">
        <v>251</v>
      </c>
      <c r="C9" s="5" t="s">
        <v>252</v>
      </c>
      <c r="D9" s="5" t="s">
        <v>253</v>
      </c>
      <c r="E9" s="135"/>
      <c r="F9" s="150"/>
    </row>
    <row r="10" spans="1:6" ht="49.5">
      <c r="A10" s="149">
        <v>3</v>
      </c>
      <c r="B10" s="137" t="s">
        <v>263</v>
      </c>
      <c r="C10" s="5" t="s">
        <v>254</v>
      </c>
      <c r="D10" s="136" t="s">
        <v>258</v>
      </c>
      <c r="E10" s="136" t="s">
        <v>255</v>
      </c>
      <c r="F10" s="150"/>
    </row>
    <row r="11" spans="1:6">
      <c r="A11" s="149">
        <v>4</v>
      </c>
      <c r="B11" s="137" t="s">
        <v>262</v>
      </c>
      <c r="C11" s="136" t="s">
        <v>260</v>
      </c>
      <c r="D11" s="136" t="s">
        <v>261</v>
      </c>
      <c r="E11" s="5" t="s">
        <v>266</v>
      </c>
      <c r="F11" s="151" t="s">
        <v>264</v>
      </c>
    </row>
    <row r="12" spans="1:6" ht="49.5">
      <c r="A12" s="149">
        <v>5</v>
      </c>
      <c r="B12" s="137" t="s">
        <v>267</v>
      </c>
      <c r="C12" s="5" t="s">
        <v>265</v>
      </c>
      <c r="D12" s="136" t="s">
        <v>268</v>
      </c>
      <c r="E12" s="136" t="s">
        <v>274</v>
      </c>
      <c r="F12" s="150"/>
    </row>
    <row r="13" spans="1:6" ht="66">
      <c r="A13" s="149">
        <v>6</v>
      </c>
      <c r="B13" s="138" t="s">
        <v>269</v>
      </c>
      <c r="C13" s="136" t="s">
        <v>295</v>
      </c>
      <c r="D13" s="135"/>
      <c r="E13" s="135"/>
      <c r="F13" s="152" t="s">
        <v>275</v>
      </c>
    </row>
    <row r="14" spans="1:6" ht="61.5">
      <c r="A14" s="149">
        <v>7</v>
      </c>
      <c r="B14" s="137" t="s">
        <v>270</v>
      </c>
      <c r="C14" s="136" t="s">
        <v>272</v>
      </c>
      <c r="D14" s="136" t="s">
        <v>271</v>
      </c>
      <c r="E14" s="136" t="s">
        <v>273</v>
      </c>
      <c r="F14" s="150"/>
    </row>
    <row r="15" spans="1:6">
      <c r="A15" s="149">
        <v>8</v>
      </c>
      <c r="B15" s="137" t="s">
        <v>276</v>
      </c>
      <c r="C15" s="136" t="s">
        <v>277</v>
      </c>
      <c r="D15" s="136" t="s">
        <v>278</v>
      </c>
      <c r="E15" s="135"/>
      <c r="F15" s="150"/>
    </row>
    <row r="16" spans="1:6" ht="66">
      <c r="A16" s="149">
        <v>9</v>
      </c>
      <c r="B16" s="137" t="s">
        <v>279</v>
      </c>
      <c r="C16" s="136" t="s">
        <v>296</v>
      </c>
      <c r="D16" s="135"/>
      <c r="E16" s="135"/>
      <c r="F16" s="150"/>
    </row>
    <row r="17" spans="1:6" ht="49.5">
      <c r="A17" s="149">
        <v>10</v>
      </c>
      <c r="B17" s="137" t="s">
        <v>270</v>
      </c>
      <c r="C17" s="136" t="s">
        <v>280</v>
      </c>
      <c r="D17" s="136" t="s">
        <v>284</v>
      </c>
      <c r="E17" s="5" t="s">
        <v>281</v>
      </c>
      <c r="F17" s="151" t="s">
        <v>283</v>
      </c>
    </row>
    <row r="18" spans="1:6">
      <c r="A18" s="149">
        <v>11</v>
      </c>
      <c r="B18" s="137" t="s">
        <v>282</v>
      </c>
      <c r="C18" s="136" t="s">
        <v>285</v>
      </c>
      <c r="D18" s="136" t="s">
        <v>286</v>
      </c>
      <c r="E18" s="135"/>
      <c r="F18" s="151" t="s">
        <v>291</v>
      </c>
    </row>
    <row r="19" spans="1:6" ht="49.5">
      <c r="A19" s="149">
        <v>12</v>
      </c>
      <c r="B19" s="138" t="s">
        <v>290</v>
      </c>
      <c r="C19" s="136" t="s">
        <v>287</v>
      </c>
      <c r="D19" s="136" t="s">
        <v>288</v>
      </c>
      <c r="E19" s="135"/>
      <c r="F19" s="150"/>
    </row>
    <row r="20" spans="1:6" ht="33">
      <c r="A20" s="149">
        <v>13</v>
      </c>
      <c r="B20" s="138" t="s">
        <v>303</v>
      </c>
      <c r="C20" s="136" t="s">
        <v>306</v>
      </c>
      <c r="D20" s="136" t="s">
        <v>304</v>
      </c>
      <c r="E20" s="136" t="s">
        <v>305</v>
      </c>
      <c r="F20" s="151"/>
    </row>
    <row r="21" spans="1:6" ht="33">
      <c r="A21" s="149">
        <v>14</v>
      </c>
      <c r="B21" s="138" t="s">
        <v>307</v>
      </c>
      <c r="C21" s="136" t="s">
        <v>308</v>
      </c>
      <c r="D21" s="136" t="s">
        <v>310</v>
      </c>
      <c r="E21" s="136" t="s">
        <v>309</v>
      </c>
      <c r="F21" s="151"/>
    </row>
    <row r="22" spans="1:6" ht="33">
      <c r="A22" s="149">
        <v>15</v>
      </c>
      <c r="B22" s="138" t="s">
        <v>311</v>
      </c>
      <c r="C22" s="136" t="s">
        <v>312</v>
      </c>
      <c r="D22" s="136" t="s">
        <v>297</v>
      </c>
      <c r="E22" s="136" t="s">
        <v>301</v>
      </c>
      <c r="F22" s="151" t="s">
        <v>294</v>
      </c>
    </row>
    <row r="23" spans="1:6" ht="45">
      <c r="A23" s="149">
        <v>16</v>
      </c>
      <c r="B23" s="137" t="s">
        <v>292</v>
      </c>
      <c r="C23" s="136" t="s">
        <v>314</v>
      </c>
      <c r="D23" s="136" t="s">
        <v>298</v>
      </c>
      <c r="E23" s="5" t="s">
        <v>300</v>
      </c>
      <c r="F23" s="150"/>
    </row>
    <row r="24" spans="1:6" ht="45.75" thickBot="1">
      <c r="A24" s="153">
        <v>17</v>
      </c>
      <c r="B24" s="154" t="s">
        <v>293</v>
      </c>
      <c r="C24" s="155" t="s">
        <v>313</v>
      </c>
      <c r="D24" s="155" t="s">
        <v>299</v>
      </c>
      <c r="E24" s="157"/>
      <c r="F24" s="156"/>
    </row>
  </sheetData>
  <mergeCells count="5">
    <mergeCell ref="A1:C1"/>
    <mergeCell ref="B2:C2"/>
    <mergeCell ref="B3:C3"/>
    <mergeCell ref="B4:C4"/>
    <mergeCell ref="B5:C5"/>
  </mergeCells>
  <phoneticPr fontId="2" type="noConversion"/>
  <conditionalFormatting sqref="D3">
    <cfRule type="cellIs" dxfId="1" priority="1" operator="equal">
      <formula>"Fail"</formula>
    </cfRule>
    <cfRule type="cellIs" dxfId="0" priority="2" operator="equal">
      <formula>"Pass"</formula>
    </cfRule>
  </conditionalFormatting>
  <dataValidations count="1">
    <dataValidation type="list" allowBlank="1" showInputMessage="1" showErrorMessage="1" sqref="D3" xr:uid="{A474246D-AE77-49BC-8CBD-620B75DF3667}">
      <formula1>"Pass,Fail"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A39A-2F8D-431C-9054-9C105A4B07B4}">
  <sheetPr>
    <tabColor rgb="FFFF0000"/>
  </sheetPr>
  <dimension ref="A1:B37"/>
  <sheetViews>
    <sheetView workbookViewId="0">
      <selection activeCell="F30" sqref="F30"/>
    </sheetView>
  </sheetViews>
  <sheetFormatPr defaultRowHeight="16.5"/>
  <cols>
    <col min="1" max="1" width="24" style="108" customWidth="1"/>
    <col min="2" max="2" width="86.875" customWidth="1"/>
    <col min="3" max="3" width="5.125" customWidth="1"/>
  </cols>
  <sheetData>
    <row r="1" spans="1:2" ht="42.75" customHeight="1">
      <c r="A1" s="278" t="s">
        <v>143</v>
      </c>
      <c r="B1" s="278"/>
    </row>
    <row r="3" spans="1:2">
      <c r="A3" s="28" t="s">
        <v>161</v>
      </c>
      <c r="B3" s="94" t="s">
        <v>160</v>
      </c>
    </row>
    <row r="4" spans="1:2">
      <c r="A4" s="28" t="s">
        <v>144</v>
      </c>
      <c r="B4" s="94" t="s">
        <v>159</v>
      </c>
    </row>
    <row r="5" spans="1:2">
      <c r="A5" s="28" t="s">
        <v>151</v>
      </c>
      <c r="B5" s="94" t="s">
        <v>59</v>
      </c>
    </row>
    <row r="6" spans="1:2">
      <c r="A6" s="28" t="s">
        <v>152</v>
      </c>
      <c r="B6" s="94" t="s">
        <v>153</v>
      </c>
    </row>
    <row r="7" spans="1:2">
      <c r="A7" s="28" t="s">
        <v>145</v>
      </c>
      <c r="B7" s="94" t="s">
        <v>154</v>
      </c>
    </row>
    <row r="8" spans="1:2">
      <c r="A8" s="28" t="s">
        <v>146</v>
      </c>
      <c r="B8" s="94" t="s">
        <v>1</v>
      </c>
    </row>
    <row r="9" spans="1:2" ht="82.5">
      <c r="A9" s="28" t="s">
        <v>147</v>
      </c>
      <c r="B9" s="109" t="s">
        <v>155</v>
      </c>
    </row>
    <row r="10" spans="1:2" ht="66">
      <c r="A10" s="28" t="s">
        <v>148</v>
      </c>
      <c r="B10" s="109" t="s">
        <v>156</v>
      </c>
    </row>
    <row r="11" spans="1:2">
      <c r="A11" s="28" t="s">
        <v>149</v>
      </c>
      <c r="B11" s="94" t="s">
        <v>157</v>
      </c>
    </row>
    <row r="12" spans="1:2">
      <c r="A12" s="28" t="s">
        <v>150</v>
      </c>
      <c r="B12" s="94" t="s">
        <v>158</v>
      </c>
    </row>
    <row r="13" spans="1:2">
      <c r="A13" s="28" t="s">
        <v>259</v>
      </c>
      <c r="B13" s="94"/>
    </row>
    <row r="15" spans="1:2">
      <c r="A15" s="28" t="s">
        <v>161</v>
      </c>
      <c r="B15" s="94" t="s">
        <v>319</v>
      </c>
    </row>
    <row r="16" spans="1:2">
      <c r="A16" s="28" t="s">
        <v>144</v>
      </c>
      <c r="B16" s="94" t="s">
        <v>453</v>
      </c>
    </row>
    <row r="17" spans="1:2">
      <c r="A17" s="28" t="s">
        <v>151</v>
      </c>
      <c r="B17" s="94" t="s">
        <v>442</v>
      </c>
    </row>
    <row r="18" spans="1:2">
      <c r="A18" s="28" t="s">
        <v>152</v>
      </c>
      <c r="B18" s="94" t="s">
        <v>448</v>
      </c>
    </row>
    <row r="19" spans="1:2">
      <c r="A19" s="28" t="s">
        <v>145</v>
      </c>
      <c r="B19" s="94" t="s">
        <v>154</v>
      </c>
    </row>
    <row r="20" spans="1:2">
      <c r="A20" s="28" t="s">
        <v>146</v>
      </c>
      <c r="B20" s="94" t="s">
        <v>1</v>
      </c>
    </row>
    <row r="21" spans="1:2" ht="115.5">
      <c r="A21" s="28" t="s">
        <v>147</v>
      </c>
      <c r="B21" s="109" t="s">
        <v>454</v>
      </c>
    </row>
    <row r="22" spans="1:2">
      <c r="A22" s="28" t="s">
        <v>148</v>
      </c>
      <c r="B22" s="109" t="s">
        <v>451</v>
      </c>
    </row>
    <row r="23" spans="1:2">
      <c r="A23" s="28" t="s">
        <v>149</v>
      </c>
      <c r="B23" s="94" t="s">
        <v>452</v>
      </c>
    </row>
    <row r="24" spans="1:2">
      <c r="A24" s="28" t="s">
        <v>150</v>
      </c>
      <c r="B24" s="94" t="s">
        <v>449</v>
      </c>
    </row>
    <row r="25" spans="1:2">
      <c r="A25" s="28" t="s">
        <v>259</v>
      </c>
      <c r="B25" s="94" t="s">
        <v>443</v>
      </c>
    </row>
    <row r="27" spans="1:2">
      <c r="A27" s="28" t="s">
        <v>161</v>
      </c>
      <c r="B27" s="94" t="s">
        <v>427</v>
      </c>
    </row>
    <row r="28" spans="1:2">
      <c r="A28" s="28" t="s">
        <v>144</v>
      </c>
      <c r="B28" s="94" t="s">
        <v>460</v>
      </c>
    </row>
    <row r="29" spans="1:2">
      <c r="A29" s="28" t="s">
        <v>151</v>
      </c>
      <c r="B29" s="94" t="s">
        <v>433</v>
      </c>
    </row>
    <row r="30" spans="1:2">
      <c r="A30" s="28" t="s">
        <v>152</v>
      </c>
      <c r="B30" s="94" t="s">
        <v>153</v>
      </c>
    </row>
    <row r="31" spans="1:2">
      <c r="A31" s="28" t="s">
        <v>145</v>
      </c>
      <c r="B31" s="94" t="s">
        <v>458</v>
      </c>
    </row>
    <row r="32" spans="1:2">
      <c r="A32" s="28" t="s">
        <v>146</v>
      </c>
      <c r="B32" s="94" t="s">
        <v>459</v>
      </c>
    </row>
    <row r="33" spans="1:2" ht="66">
      <c r="A33" s="28" t="s">
        <v>147</v>
      </c>
      <c r="B33" s="109" t="s">
        <v>461</v>
      </c>
    </row>
    <row r="34" spans="1:2" ht="33">
      <c r="A34" s="28" t="s">
        <v>148</v>
      </c>
      <c r="B34" s="109" t="s">
        <v>456</v>
      </c>
    </row>
    <row r="35" spans="1:2">
      <c r="A35" s="28" t="s">
        <v>149</v>
      </c>
      <c r="B35" s="94" t="s">
        <v>455</v>
      </c>
    </row>
    <row r="36" spans="1:2">
      <c r="A36" s="28" t="s">
        <v>150</v>
      </c>
      <c r="B36" s="94" t="s">
        <v>457</v>
      </c>
    </row>
    <row r="37" spans="1:2">
      <c r="A37" s="28" t="s">
        <v>259</v>
      </c>
      <c r="B37" s="94"/>
    </row>
  </sheetData>
  <mergeCells count="1">
    <mergeCell ref="A1:B1"/>
  </mergeCells>
  <phoneticPr fontId="2" type="noConversion"/>
  <dataValidations count="1">
    <dataValidation type="list" allowBlank="1" showInputMessage="1" showErrorMessage="1" sqref="B7 B31 B19" xr:uid="{89C6662E-503F-452D-902C-FE43EBC1A49B}">
      <formula1>"Critical,Major,Minor"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55356-662D-4938-A3FC-31FD24F9EB95}">
  <dimension ref="A1"/>
  <sheetViews>
    <sheetView zoomScaleNormal="100" workbookViewId="0">
      <selection activeCell="S18" sqref="S18"/>
    </sheetView>
  </sheetViews>
  <sheetFormatPr defaultRowHeight="16.5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Test Result</vt:lpstr>
      <vt:lpstr>Decision Table Case</vt:lpstr>
      <vt:lpstr>CheckList Case</vt:lpstr>
      <vt:lpstr>FieldRule Case</vt:lpstr>
      <vt:lpstr>E2E Case</vt:lpstr>
      <vt:lpstr>Bug Report</vt:lpstr>
      <vt:lpstr>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</dc:creator>
  <cp:lastModifiedBy>허익</cp:lastModifiedBy>
  <cp:revision>2</cp:revision>
  <dcterms:created xsi:type="dcterms:W3CDTF">2026-04-09T11:33:52Z</dcterms:created>
  <dcterms:modified xsi:type="dcterms:W3CDTF">2026-08-30T13:29:16Z</dcterms:modified>
  <cp:version>1100.0100.01</cp:version>
</cp:coreProperties>
</file>