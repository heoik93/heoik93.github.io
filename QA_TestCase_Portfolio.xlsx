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ell\Desktop\취업\"/>
    </mc:Choice>
  </mc:AlternateContent>
  <xr:revisionPtr revIDLastSave="0" documentId="13_ncr:1_{F3959E18-7DB3-4C7E-A8BE-38A0226C8E7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Test Result" sheetId="6" r:id="rId1"/>
    <sheet name="Positive Case" sheetId="1" r:id="rId2"/>
    <sheet name="Negative Case" sheetId="2" r:id="rId3"/>
    <sheet name="Edge Case" sheetId="7" r:id="rId4"/>
    <sheet name="FieldRule Case" sheetId="4" r:id="rId5"/>
    <sheet name="E2E Case" sheetId="10" r:id="rId6"/>
    <sheet name="Bug Report" sheetId="8" r:id="rId7"/>
    <sheet name="Layout" sheetId="5" r:id="rId8"/>
  </sheets>
  <definedNames>
    <definedName name="_xlnm._FilterDatabase" localSheetId="0" hidden="1">'Test Result'!$S$2:$V$2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2" i="6" l="1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43" i="6"/>
  <c r="U35" i="6"/>
  <c r="U36" i="6"/>
  <c r="U37" i="6"/>
  <c r="U38" i="6"/>
  <c r="U39" i="6"/>
  <c r="U40" i="6"/>
  <c r="U41" i="6"/>
  <c r="U42" i="6"/>
  <c r="U34" i="6"/>
  <c r="U22" i="6"/>
  <c r="U23" i="6"/>
  <c r="U24" i="6"/>
  <c r="U25" i="6"/>
  <c r="U26" i="6"/>
  <c r="U27" i="6"/>
  <c r="U28" i="6"/>
  <c r="U29" i="6"/>
  <c r="U30" i="6"/>
  <c r="U31" i="6"/>
  <c r="U32" i="6"/>
  <c r="U33" i="6"/>
  <c r="U21" i="6"/>
  <c r="U4" i="6"/>
  <c r="U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3" i="6"/>
  <c r="C2" i="6"/>
  <c r="C13" i="6"/>
  <c r="C12" i="6"/>
  <c r="C11" i="6"/>
  <c r="C10" i="6"/>
  <c r="C9" i="6"/>
  <c r="C8" i="6"/>
  <c r="C7" i="6"/>
  <c r="C6" i="6"/>
  <c r="C5" i="6"/>
  <c r="C4" i="6"/>
  <c r="C3" i="6"/>
  <c r="C15" i="6" l="1"/>
  <c r="C14" i="6"/>
  <c r="C16" i="6"/>
</calcChain>
</file>

<file path=xl/sharedStrings.xml><?xml version="1.0" encoding="utf-8"?>
<sst xmlns="http://schemas.openxmlformats.org/spreadsheetml/2006/main" count="1091" uniqueCount="329">
  <si>
    <t>Edge</t>
    <phoneticPr fontId="2" type="noConversion"/>
  </si>
  <si>
    <t>Chrome</t>
    <phoneticPr fontId="2" type="noConversion"/>
  </si>
  <si>
    <t>Firefox</t>
    <phoneticPr fontId="2" type="noConversion"/>
  </si>
  <si>
    <t>실행 브라우저</t>
    <phoneticPr fontId="2" type="noConversion"/>
  </si>
  <si>
    <t>후기게시판</t>
    <phoneticPr fontId="2" type="noConversion"/>
  </si>
  <si>
    <t>질문게시판</t>
    <phoneticPr fontId="2" type="noConversion"/>
  </si>
  <si>
    <t>1:1 문의</t>
    <phoneticPr fontId="2" type="noConversion"/>
  </si>
  <si>
    <t>회원정보</t>
    <phoneticPr fontId="2" type="noConversion"/>
  </si>
  <si>
    <t>신청내역확인</t>
    <phoneticPr fontId="2" type="noConversion"/>
  </si>
  <si>
    <t>예약안내</t>
    <phoneticPr fontId="2" type="noConversion"/>
  </si>
  <si>
    <t>버튼</t>
    <phoneticPr fontId="2" type="noConversion"/>
  </si>
  <si>
    <t>메뉴</t>
    <phoneticPr fontId="2" type="noConversion"/>
  </si>
  <si>
    <t>회사소개</t>
    <phoneticPr fontId="2" type="noConversion"/>
  </si>
  <si>
    <t>가격안내</t>
    <phoneticPr fontId="2" type="noConversion"/>
  </si>
  <si>
    <t>페이지 헤더 로그인</t>
    <phoneticPr fontId="2" type="noConversion"/>
  </si>
  <si>
    <t>URL직접입력</t>
    <phoneticPr fontId="2" type="noConversion"/>
  </si>
  <si>
    <t xml:space="preserve">하기 URL을 주소창에 입력
http://laundry365.store:8080/LoginInfo/Login </t>
    <phoneticPr fontId="2" type="noConversion"/>
  </si>
  <si>
    <t>Login_PO_TC1</t>
    <phoneticPr fontId="2" type="noConversion"/>
  </si>
  <si>
    <t>기대결과②</t>
    <phoneticPr fontId="2" type="noConversion"/>
  </si>
  <si>
    <t>기대결과①</t>
    <phoneticPr fontId="2" type="noConversion"/>
  </si>
  <si>
    <t>트리거②</t>
    <phoneticPr fontId="2" type="noConversion"/>
  </si>
  <si>
    <t>관리자 유저</t>
    <phoneticPr fontId="2" type="noConversion"/>
  </si>
  <si>
    <t>일반 유저</t>
    <phoneticPr fontId="2" type="noConversion"/>
  </si>
  <si>
    <t>전재조건②</t>
    <phoneticPr fontId="2" type="noConversion"/>
  </si>
  <si>
    <t>"Sign in"버튼 클릭</t>
    <phoneticPr fontId="2" type="noConversion"/>
  </si>
  <si>
    <t>"Sign up"버튼 클릭</t>
    <phoneticPr fontId="2" type="noConversion"/>
  </si>
  <si>
    <t>"Password?"버튼 클릭</t>
    <phoneticPr fontId="2" type="noConversion"/>
  </si>
  <si>
    <t>로그인에 성공할것</t>
    <phoneticPr fontId="2" type="noConversion"/>
  </si>
  <si>
    <t>홈페이지로 이동</t>
    <phoneticPr fontId="2" type="noConversion"/>
  </si>
  <si>
    <t>회원가입 페이지로이동</t>
    <phoneticPr fontId="2" type="noConversion"/>
  </si>
  <si>
    <t>비밀번호 찾기 페이지로 이동</t>
    <phoneticPr fontId="2" type="noConversion"/>
  </si>
  <si>
    <t>트리거①
(진입방법)</t>
    <phoneticPr fontId="2" type="noConversion"/>
  </si>
  <si>
    <t>Login_PO_TC2</t>
  </si>
  <si>
    <t>Login_PO_TC3</t>
  </si>
  <si>
    <t>Login_PO_TC4</t>
  </si>
  <si>
    <t>Login_PO_TC5</t>
  </si>
  <si>
    <t>Login_PO_TC6</t>
  </si>
  <si>
    <t>Login_PO_TC7</t>
  </si>
  <si>
    <t>Login_PO_TC8</t>
  </si>
  <si>
    <t>Login_PO_TC9</t>
  </si>
  <si>
    <t>Login_PO_TC10</t>
  </si>
  <si>
    <t>Login_PO_TC11</t>
  </si>
  <si>
    <t>Login_PO_TC12</t>
  </si>
  <si>
    <t>Login_PO_TC13</t>
  </si>
  <si>
    <t>Login_PO_TC14</t>
  </si>
  <si>
    <t>Login_PO_TC15</t>
  </si>
  <si>
    <t>Login_PO_TC16</t>
  </si>
  <si>
    <t>Login_PO_TC17</t>
  </si>
  <si>
    <r>
      <t xml:space="preserve">Layout시트와 동일한 </t>
    </r>
    <r>
      <rPr>
        <b/>
        <sz val="11"/>
        <rFont val="맑은 고딕"/>
        <family val="3"/>
        <charset val="129"/>
      </rPr>
      <t>로그인 페이지가 표시</t>
    </r>
    <r>
      <rPr>
        <sz val="11"/>
        <rFont val="맑은 고딕"/>
        <family val="3"/>
        <charset val="129"/>
      </rPr>
      <t>될것</t>
    </r>
    <phoneticPr fontId="2" type="noConversion"/>
  </si>
  <si>
    <r>
      <t>페이지 타이틀이 "</t>
    </r>
    <r>
      <rPr>
        <b/>
        <sz val="11"/>
        <rFont val="맑은 고딕"/>
        <family val="3"/>
        <charset val="129"/>
      </rPr>
      <t>로그인</t>
    </r>
    <r>
      <rPr>
        <sz val="11"/>
        <rFont val="맑은 고딕"/>
        <family val="3"/>
        <charset val="129"/>
      </rPr>
      <t>" 일것</t>
    </r>
    <phoneticPr fontId="2" type="noConversion"/>
  </si>
  <si>
    <r>
      <t xml:space="preserve">페이지 URL이 하기와 같을것
</t>
    </r>
    <r>
      <rPr>
        <b/>
        <sz val="11"/>
        <rFont val="맑은 고딕"/>
        <family val="3"/>
        <charset val="129"/>
      </rPr>
      <t>http://laundry365.store:8080/LoginInfo/Login</t>
    </r>
    <phoneticPr fontId="2" type="noConversion"/>
  </si>
  <si>
    <r>
      <t>페이지 헤더에 "</t>
    </r>
    <r>
      <rPr>
        <b/>
        <sz val="11"/>
        <color rgb="FF000000"/>
        <rFont val="맑은 고딕"/>
        <family val="3"/>
        <charset val="129"/>
      </rPr>
      <t>로그아웃</t>
    </r>
    <r>
      <rPr>
        <sz val="11"/>
        <color rgb="FF000000"/>
        <rFont val="맑은 고딕"/>
        <family val="3"/>
        <charset val="129"/>
      </rPr>
      <t xml:space="preserve">" 메뉴 </t>
    </r>
    <r>
      <rPr>
        <b/>
        <sz val="11"/>
        <color rgb="FF000000"/>
        <rFont val="맑은 고딕"/>
        <family val="3"/>
        <charset val="129"/>
      </rPr>
      <t>표시</t>
    </r>
    <phoneticPr fontId="2" type="noConversion"/>
  </si>
  <si>
    <r>
      <t>페이지 타이틀이 "</t>
    </r>
    <r>
      <rPr>
        <b/>
        <sz val="11"/>
        <rFont val="맑은 고딕"/>
        <family val="3"/>
        <charset val="129"/>
      </rPr>
      <t>Laundry365</t>
    </r>
    <r>
      <rPr>
        <sz val="11"/>
        <rFont val="맑은 고딕"/>
        <family val="3"/>
        <charset val="129"/>
      </rPr>
      <t>" 일 것</t>
    </r>
    <phoneticPr fontId="2" type="noConversion"/>
  </si>
  <si>
    <r>
      <t xml:space="preserve">페이지 URL이 하기와 같을것
</t>
    </r>
    <r>
      <rPr>
        <b/>
        <sz val="11"/>
        <rFont val="맑은 고딕"/>
        <family val="3"/>
        <charset val="129"/>
      </rPr>
      <t>http://laundry365.store:8080/</t>
    </r>
    <phoneticPr fontId="2" type="noConversion"/>
  </si>
  <si>
    <t>페이지 헤더에 "로그인" 메뉴 표시</t>
    <phoneticPr fontId="2" type="noConversion"/>
  </si>
  <si>
    <t>F</t>
  </si>
  <si>
    <t>F</t>
    <phoneticPr fontId="2" type="noConversion"/>
  </si>
  <si>
    <t>일반 UserID,Password 입력</t>
    <phoneticPr fontId="2" type="noConversion"/>
  </si>
  <si>
    <t>관리자 UserID,Password 입력</t>
    <phoneticPr fontId="2" type="noConversion"/>
  </si>
  <si>
    <t>Login_NE_TC1</t>
    <phoneticPr fontId="2" type="noConversion"/>
  </si>
  <si>
    <t>Login_NE_TC2</t>
  </si>
  <si>
    <t>Login_NE_TC3</t>
  </si>
  <si>
    <t>Login_NE_TC4</t>
  </si>
  <si>
    <t>Login_NE_TC5</t>
  </si>
  <si>
    <t>Login_NE_TC6</t>
  </si>
  <si>
    <t>Login_NE_TC7</t>
  </si>
  <si>
    <t>Login_NE_TC8</t>
  </si>
  <si>
    <t>Login_NE_TC11</t>
  </si>
  <si>
    <t>Login_NE_TC12</t>
  </si>
  <si>
    <t>Login_NE_TC13</t>
  </si>
  <si>
    <t>Login_PO_TC18</t>
  </si>
  <si>
    <t>UserID 입력</t>
    <phoneticPr fontId="2" type="noConversion"/>
  </si>
  <si>
    <t>Password 입력</t>
    <phoneticPr fontId="2" type="noConversion"/>
  </si>
  <si>
    <t>등록되지 않은 UserID 입력</t>
    <phoneticPr fontId="2" type="noConversion"/>
  </si>
  <si>
    <t>올바르지 않은 Password 입력</t>
    <phoneticPr fontId="2" type="noConversion"/>
  </si>
  <si>
    <r>
      <t xml:space="preserve">Password 입력      </t>
    </r>
    <r>
      <rPr>
        <sz val="9"/>
        <color rgb="FF000000"/>
        <rFont val="맑은 고딕"/>
        <family val="3"/>
        <charset val="129"/>
      </rPr>
      <t>※미등록유저 : 임의입력</t>
    </r>
    <phoneticPr fontId="2" type="noConversion"/>
  </si>
  <si>
    <r>
      <t xml:space="preserve">로그인에 </t>
    </r>
    <r>
      <rPr>
        <b/>
        <sz val="11"/>
        <color rgb="FFFF0000"/>
        <rFont val="맑은 고딕"/>
        <family val="3"/>
        <charset val="129"/>
      </rPr>
      <t>실패</t>
    </r>
    <r>
      <rPr>
        <sz val="11"/>
        <color rgb="FF000000"/>
        <rFont val="맑은 고딕"/>
        <family val="3"/>
        <charset val="129"/>
      </rPr>
      <t>할것</t>
    </r>
    <phoneticPr fontId="2" type="noConversion"/>
  </si>
  <si>
    <t>Alert메세지</t>
    <phoneticPr fontId="2" type="noConversion"/>
  </si>
  <si>
    <t>트리거③</t>
    <phoneticPr fontId="2" type="noConversion"/>
  </si>
  <si>
    <r>
      <t>Alert메세지 창의 "</t>
    </r>
    <r>
      <rPr>
        <b/>
        <sz val="11"/>
        <color rgb="FF000000"/>
        <rFont val="맑은 고딕"/>
        <family val="3"/>
        <charset val="129"/>
      </rPr>
      <t>확인</t>
    </r>
    <r>
      <rPr>
        <sz val="11"/>
        <color rgb="FF000000"/>
        <rFont val="맑은 고딕"/>
        <family val="3"/>
        <charset val="129"/>
      </rPr>
      <t>"버튼 클릭</t>
    </r>
    <phoneticPr fontId="2" type="noConversion"/>
  </si>
  <si>
    <t>전제조건①</t>
    <phoneticPr fontId="2" type="noConversion"/>
  </si>
  <si>
    <r>
      <t>페이지 타이틀이 "</t>
    </r>
    <r>
      <rPr>
        <b/>
        <sz val="11"/>
        <color rgb="FF000000"/>
        <rFont val="맑은 고딕"/>
        <family val="3"/>
        <charset val="129"/>
      </rPr>
      <t>로그인</t>
    </r>
    <r>
      <rPr>
        <sz val="11"/>
        <color rgb="FF000000"/>
        <rFont val="맑은 고딕"/>
        <family val="3"/>
        <charset val="129"/>
      </rPr>
      <t>" 일것</t>
    </r>
    <phoneticPr fontId="2" type="noConversion"/>
  </si>
  <si>
    <r>
      <t xml:space="preserve">페이지 URL이 하기와 같을것
</t>
    </r>
    <r>
      <rPr>
        <b/>
        <sz val="11"/>
        <rFont val="맑은 고딕"/>
        <family val="3"/>
        <charset val="129"/>
      </rPr>
      <t>http://laundry365.store:8080/LoginInfo/Login?error=true</t>
    </r>
    <phoneticPr fontId="2" type="noConversion"/>
  </si>
  <si>
    <t>페이지URL</t>
    <phoneticPr fontId="2" type="noConversion"/>
  </si>
  <si>
    <t>기대결과③</t>
    <phoneticPr fontId="2" type="noConversion"/>
  </si>
  <si>
    <t>트리거④</t>
    <phoneticPr fontId="2" type="noConversion"/>
  </si>
  <si>
    <t>기대결과④</t>
    <phoneticPr fontId="2" type="noConversion"/>
  </si>
  <si>
    <t>새로고침(F5)을 눌러 페이지 리프레쉬 할것</t>
    <phoneticPr fontId="2" type="noConversion"/>
  </si>
  <si>
    <t>로그인 실패 Alert메세지가 재표시되지 않을 것</t>
    <phoneticPr fontId="2" type="noConversion"/>
  </si>
  <si>
    <r>
      <t>이하와 같이 Alert메세지 표시
- 타이틀 : "</t>
    </r>
    <r>
      <rPr>
        <b/>
        <sz val="11"/>
        <color rgb="FF000000"/>
        <rFont val="맑은 고딕"/>
        <family val="3"/>
        <charset val="129"/>
      </rPr>
      <t>로그인 실패</t>
    </r>
    <r>
      <rPr>
        <sz val="11"/>
        <color rgb="FF000000"/>
        <rFont val="맑은 고딕"/>
        <family val="3"/>
        <charset val="129"/>
      </rPr>
      <t>"
- 메시지 : "</t>
    </r>
    <r>
      <rPr>
        <b/>
        <sz val="11"/>
        <color rgb="FF000000"/>
        <rFont val="맑은 고딕"/>
        <family val="3"/>
        <charset val="129"/>
      </rPr>
      <t>아이디와 비밀번호를 입력해주세요.</t>
    </r>
    <r>
      <rPr>
        <sz val="11"/>
        <color rgb="FF000000"/>
        <rFont val="맑은 고딕"/>
        <family val="3"/>
        <charset val="129"/>
      </rPr>
      <t>"
- 버튼 : "</t>
    </r>
    <r>
      <rPr>
        <b/>
        <sz val="11"/>
        <color rgb="FF000000"/>
        <rFont val="맑은 고딕"/>
        <family val="3"/>
        <charset val="129"/>
      </rPr>
      <t>확인</t>
    </r>
    <r>
      <rPr>
        <sz val="11"/>
        <color rgb="FF000000"/>
        <rFont val="맑은 고딕"/>
        <family val="3"/>
        <charset val="129"/>
      </rPr>
      <t>"</t>
    </r>
    <phoneticPr fontId="2" type="noConversion"/>
  </si>
  <si>
    <t>Login_Eg_TC1</t>
    <phoneticPr fontId="2" type="noConversion"/>
  </si>
  <si>
    <t>Login_Eg_TC2</t>
  </si>
  <si>
    <t>Login_Eg_TC3</t>
  </si>
  <si>
    <t>Login_Eg_TC4</t>
  </si>
  <si>
    <t>Login_Eg_TC5</t>
  </si>
  <si>
    <t>Login_Eg_TC6</t>
  </si>
  <si>
    <t>Login_Eg_TC7</t>
  </si>
  <si>
    <t>Login_Eg_TC8</t>
  </si>
  <si>
    <t>Login_Eg_TC9</t>
  </si>
  <si>
    <t>트리거①</t>
    <phoneticPr fontId="2" type="noConversion"/>
  </si>
  <si>
    <t>로그인페이지</t>
    <phoneticPr fontId="2" type="noConversion"/>
  </si>
  <si>
    <t>현재페이지</t>
    <phoneticPr fontId="2" type="noConversion"/>
  </si>
  <si>
    <t>T</t>
  </si>
  <si>
    <t>TCID</t>
    <phoneticPr fontId="2" type="noConversion"/>
  </si>
  <si>
    <t>No</t>
    <phoneticPr fontId="2" type="noConversion"/>
  </si>
  <si>
    <t>확인내용</t>
    <phoneticPr fontId="2" type="noConversion"/>
  </si>
  <si>
    <t>필드ID</t>
    <phoneticPr fontId="2" type="noConversion"/>
  </si>
  <si>
    <t>텍스트</t>
    <phoneticPr fontId="2" type="noConversion"/>
  </si>
  <si>
    <t>User id를 입력할 수 있는 inputbox 표시되는 것을 확인</t>
    <phoneticPr fontId="2" type="noConversion"/>
  </si>
  <si>
    <t>Password를 입력할 수 있는 inputbox 표시되는 것을 확인</t>
    <phoneticPr fontId="2" type="noConversion"/>
  </si>
  <si>
    <t>종류</t>
    <phoneticPr fontId="2" type="noConversion"/>
  </si>
  <si>
    <t>Text</t>
    <phoneticPr fontId="2" type="noConversion"/>
  </si>
  <si>
    <t>Inputbox</t>
    <phoneticPr fontId="2" type="noConversion"/>
  </si>
  <si>
    <t>Button</t>
    <phoneticPr fontId="2" type="noConversion"/>
  </si>
  <si>
    <t>확인대상</t>
    <phoneticPr fontId="2" type="noConversion"/>
  </si>
  <si>
    <t>동작여부</t>
    <phoneticPr fontId="2" type="noConversion"/>
  </si>
  <si>
    <t>클릭 가능한것을 확인</t>
    <phoneticPr fontId="2" type="noConversion"/>
  </si>
  <si>
    <r>
      <rPr>
        <sz val="11"/>
        <color rgb="FF000000"/>
        <rFont val="맑은 고딕"/>
        <family val="3"/>
        <charset val="129"/>
      </rPr>
      <t>"</t>
    </r>
    <r>
      <rPr>
        <b/>
        <sz val="11"/>
        <color rgb="FF000000"/>
        <rFont val="맑은 고딕"/>
        <family val="3"/>
        <charset val="129"/>
      </rPr>
      <t>Sign</t>
    </r>
    <r>
      <rPr>
        <sz val="11"/>
        <color rgb="FF000000"/>
        <rFont val="맑은 고딕"/>
        <family val="3"/>
        <charset val="129"/>
      </rPr>
      <t xml:space="preserve"> </t>
    </r>
    <r>
      <rPr>
        <b/>
        <sz val="11"/>
        <color rgb="FF000000"/>
        <rFont val="맑은 고딕"/>
        <family val="3"/>
        <charset val="129"/>
      </rPr>
      <t>in</t>
    </r>
    <r>
      <rPr>
        <sz val="11"/>
        <color rgb="FF000000"/>
        <rFont val="맑은 고딕"/>
        <family val="3"/>
        <charset val="129"/>
      </rPr>
      <t>" 표시확인</t>
    </r>
    <phoneticPr fontId="2" type="noConversion"/>
  </si>
  <si>
    <r>
      <rPr>
        <sz val="11"/>
        <color rgb="FF000000"/>
        <rFont val="맑은 고딕"/>
        <family val="3"/>
        <charset val="129"/>
      </rPr>
      <t>"</t>
    </r>
    <r>
      <rPr>
        <b/>
        <sz val="11"/>
        <color rgb="FF000000"/>
        <rFont val="맑은 고딕"/>
        <family val="3"/>
        <charset val="129"/>
      </rPr>
      <t>User Login</t>
    </r>
    <r>
      <rPr>
        <sz val="11"/>
        <color rgb="FF000000"/>
        <rFont val="맑은 고딕"/>
        <family val="3"/>
        <charset val="129"/>
      </rPr>
      <t>" 표시확인</t>
    </r>
    <phoneticPr fontId="2" type="noConversion"/>
  </si>
  <si>
    <t>클릭시 입력 가능여부 확인</t>
    <phoneticPr fontId="2" type="noConversion"/>
  </si>
  <si>
    <t>UI</t>
    <phoneticPr fontId="2" type="noConversion"/>
  </si>
  <si>
    <t>텍스트색 : 화이트</t>
    <phoneticPr fontId="2" type="noConversion"/>
  </si>
  <si>
    <t>버튼색 : 블랙</t>
    <phoneticPr fontId="2" type="noConversion"/>
  </si>
  <si>
    <t>마우스를 버튼에 올리면 버튼색의 투명도 상승</t>
    <phoneticPr fontId="2" type="noConversion"/>
  </si>
  <si>
    <r>
      <rPr>
        <sz val="11"/>
        <color rgb="FF000000"/>
        <rFont val="맑은 고딕"/>
        <family val="3"/>
        <charset val="129"/>
      </rPr>
      <t>"</t>
    </r>
    <r>
      <rPr>
        <b/>
        <sz val="11"/>
        <color rgb="FF000000"/>
        <rFont val="맑은 고딕"/>
        <family val="3"/>
        <charset val="129"/>
      </rPr>
      <t>Sign</t>
    </r>
    <r>
      <rPr>
        <sz val="11"/>
        <color rgb="FF000000"/>
        <rFont val="맑은 고딕"/>
        <family val="3"/>
        <charset val="129"/>
      </rPr>
      <t xml:space="preserve"> </t>
    </r>
    <r>
      <rPr>
        <b/>
        <sz val="11"/>
        <color rgb="FF000000"/>
        <rFont val="맑은 고딕"/>
        <family val="3"/>
        <charset val="129"/>
      </rPr>
      <t>up</t>
    </r>
    <r>
      <rPr>
        <sz val="11"/>
        <color rgb="FF000000"/>
        <rFont val="맑은 고딕"/>
        <family val="3"/>
        <charset val="129"/>
      </rPr>
      <t>" 표시확인</t>
    </r>
    <phoneticPr fontId="2" type="noConversion"/>
  </si>
  <si>
    <t>버튼색 : 화이트</t>
    <phoneticPr fontId="2" type="noConversion"/>
  </si>
  <si>
    <t>텍스트색 : 블랙</t>
    <phoneticPr fontId="2" type="noConversion"/>
  </si>
  <si>
    <t>마우스를 버튼에 올리면 버튼색이 블랙으로 변경</t>
    <phoneticPr fontId="2" type="noConversion"/>
  </si>
  <si>
    <r>
      <rPr>
        <sz val="11"/>
        <color rgb="FF000000"/>
        <rFont val="맑은 고딕"/>
        <family val="3"/>
        <charset val="129"/>
      </rPr>
      <t>"</t>
    </r>
    <r>
      <rPr>
        <b/>
        <sz val="11"/>
        <color rgb="FF000000"/>
        <rFont val="맑은 고딕"/>
        <family val="3"/>
        <charset val="129"/>
      </rPr>
      <t>Password</t>
    </r>
    <r>
      <rPr>
        <sz val="11"/>
        <color rgb="FF000000"/>
        <rFont val="맑은 고딕"/>
        <family val="3"/>
        <charset val="129"/>
      </rPr>
      <t>" 표시확인</t>
    </r>
    <phoneticPr fontId="2" type="noConversion"/>
  </si>
  <si>
    <t>Header</t>
    <phoneticPr fontId="2" type="noConversion"/>
  </si>
  <si>
    <t>Footer</t>
    <phoneticPr fontId="2" type="noConversion"/>
  </si>
  <si>
    <r>
      <t>실행결과 (</t>
    </r>
    <r>
      <rPr>
        <b/>
        <sz val="11"/>
        <color rgb="FF0070C0"/>
        <rFont val="맑은 고딕"/>
        <family val="3"/>
        <charset val="129"/>
      </rPr>
      <t>Pass</t>
    </r>
    <r>
      <rPr>
        <b/>
        <sz val="11"/>
        <color rgb="FF000000"/>
        <rFont val="맑은 고딕"/>
        <family val="3"/>
        <charset val="129"/>
      </rPr>
      <t>/</t>
    </r>
    <r>
      <rPr>
        <b/>
        <sz val="11"/>
        <color rgb="FFFF0000"/>
        <rFont val="맑은 고딕"/>
        <family val="3"/>
        <charset val="129"/>
      </rPr>
      <t>Fail</t>
    </r>
    <r>
      <rPr>
        <b/>
        <sz val="11"/>
        <color rgb="FF000000"/>
        <rFont val="맑은 고딕"/>
        <family val="3"/>
        <charset val="129"/>
      </rPr>
      <t>)</t>
    </r>
    <phoneticPr fontId="2" type="noConversion"/>
  </si>
  <si>
    <t>네비게이션의 텍스트들이 올바르게 표시되어 있는것을 확인</t>
    <phoneticPr fontId="2" type="noConversion"/>
  </si>
  <si>
    <t>푸터의 텍스트들이 올바르게 표시되어 있는것을 확인</t>
    <phoneticPr fontId="2" type="noConversion"/>
  </si>
  <si>
    <t>푸터의 UI깨짐 현상이 없을것</t>
    <phoneticPr fontId="2" type="noConversion"/>
  </si>
  <si>
    <t>네비게이션의 UI깨짐 현상이 없을것</t>
    <phoneticPr fontId="2" type="noConversion"/>
  </si>
  <si>
    <t>Pass</t>
  </si>
  <si>
    <t>Fail</t>
  </si>
  <si>
    <t>실행결과
(Pass/Fail)</t>
    <phoneticPr fontId="2" type="noConversion"/>
  </si>
  <si>
    <t>Pass</t>
    <phoneticPr fontId="2" type="noConversion"/>
  </si>
  <si>
    <t>Total</t>
    <phoneticPr fontId="2" type="noConversion"/>
  </si>
  <si>
    <t>Fail</t>
    <phoneticPr fontId="2" type="noConversion"/>
  </si>
  <si>
    <t>Negative Case</t>
    <phoneticPr fontId="2" type="noConversion"/>
  </si>
  <si>
    <t>Edge Case</t>
    <phoneticPr fontId="2" type="noConversion"/>
  </si>
  <si>
    <t>Test Result Summry</t>
    <phoneticPr fontId="2" type="noConversion"/>
  </si>
  <si>
    <t>로그인페이지  Positive Case</t>
    <phoneticPr fontId="2" type="noConversion"/>
  </si>
  <si>
    <t>로그인페이지  Negative Case (로그인 실패)</t>
    <phoneticPr fontId="2" type="noConversion"/>
  </si>
  <si>
    <t>Bug Report</t>
    <phoneticPr fontId="2" type="noConversion"/>
  </si>
  <si>
    <t>제목</t>
    <phoneticPr fontId="2" type="noConversion"/>
  </si>
  <si>
    <t>결함 심각도</t>
    <phoneticPr fontId="2" type="noConversion"/>
  </si>
  <si>
    <t>테스트환경</t>
    <phoneticPr fontId="2" type="noConversion"/>
  </si>
  <si>
    <t>재현경로</t>
    <phoneticPr fontId="2" type="noConversion"/>
  </si>
  <si>
    <t>기대결과</t>
    <phoneticPr fontId="2" type="noConversion"/>
  </si>
  <si>
    <t>실제결과</t>
    <phoneticPr fontId="2" type="noConversion"/>
  </si>
  <si>
    <t>재현영상 파일명</t>
    <phoneticPr fontId="2" type="noConversion"/>
  </si>
  <si>
    <t>테스트케이스</t>
    <phoneticPr fontId="2" type="noConversion"/>
  </si>
  <si>
    <t>페이지 / 기능</t>
    <phoneticPr fontId="2" type="noConversion"/>
  </si>
  <si>
    <t>로그인 페이지</t>
    <phoneticPr fontId="2" type="noConversion"/>
  </si>
  <si>
    <t>Major</t>
  </si>
  <si>
    <t>1. Chrome브라우저로 홈페이지 진입
2. 페이지헤더(네비게이션바)의 로그인메뉴 클릭
3. 일반유저의 UserID입력
4. 잘못된 Password 입력
5. "Sign in"버튼 클릭</t>
    <phoneticPr fontId="2" type="noConversion"/>
  </si>
  <si>
    <t>로그인에 실패하여 아래와 같은 Alert메세지가 표시될 것
- 타이틀 : "로그인 실패"
- 메시지 : "아이디와 비밀번호를 입력해주세요."
- 버튼 : "확인"</t>
    <phoneticPr fontId="2" type="noConversion"/>
  </si>
  <si>
    <t>로그인에 실패하였으나 Alert메세지가 표시되지 않음</t>
    <phoneticPr fontId="2" type="noConversion"/>
  </si>
  <si>
    <t>Login_NE_TC1.mp4</t>
    <phoneticPr fontId="2" type="noConversion"/>
  </si>
  <si>
    <t>[로그인페이지]로그인 실패시 Alert메세지 비표시</t>
    <phoneticPr fontId="2" type="noConversion"/>
  </si>
  <si>
    <t>#1</t>
    <phoneticPr fontId="2" type="noConversion"/>
  </si>
  <si>
    <t>Bug List No.</t>
    <phoneticPr fontId="2" type="noConversion"/>
  </si>
  <si>
    <t>Login_FieldID1_TC1</t>
  </si>
  <si>
    <t>Login_FieldID2_TC1</t>
  </si>
  <si>
    <t>Login_FieldID2_TC2</t>
  </si>
  <si>
    <t>Login_FieldID3_TC1</t>
  </si>
  <si>
    <t>Login_FieldID3_TC2</t>
  </si>
  <si>
    <t>Login_FieldID4_TC1</t>
  </si>
  <si>
    <t>Login_FieldID4_TC2</t>
  </si>
  <si>
    <t>Login_FieldID4_TC3</t>
  </si>
  <si>
    <t>Login_FieldID4_TC4</t>
  </si>
  <si>
    <t>Login_FieldID4_TC5</t>
  </si>
  <si>
    <t>Login_FieldID5_TC1</t>
  </si>
  <si>
    <t>Login_FieldID5_TC2</t>
  </si>
  <si>
    <t>Login_FieldID5_TC3</t>
  </si>
  <si>
    <t>Login_FieldID5_TC4</t>
  </si>
  <si>
    <t>Login_FieldID5_TC5</t>
  </si>
  <si>
    <t>Login_FieldID6_TC1</t>
  </si>
  <si>
    <t>Login_FieldID6_TC2</t>
  </si>
  <si>
    <t>Login_FieldID6_TC3</t>
  </si>
  <si>
    <t>Login_FieldID6_TC4</t>
  </si>
  <si>
    <t>Login_FieldID6_TC5</t>
  </si>
  <si>
    <t>Login_FieldID7_TC1</t>
  </si>
  <si>
    <t>Login_FieldID7_TC2</t>
  </si>
  <si>
    <t>Login_FieldID8_TC1</t>
  </si>
  <si>
    <t>Login_FieldID8_TC2</t>
  </si>
  <si>
    <t>Login_NE_TC9</t>
  </si>
  <si>
    <t>Login_NE_TC10</t>
  </si>
  <si>
    <t>입력유효성</t>
    <phoneticPr fontId="2" type="noConversion"/>
  </si>
  <si>
    <t>최대값(영문+숫자 15자) 입력 가능여부 확인</t>
    <phoneticPr fontId="2" type="noConversion"/>
  </si>
  <si>
    <t>특수문자 입력불가 여부 확인</t>
    <phoneticPr fontId="2" type="noConversion"/>
  </si>
  <si>
    <t>Style Guide</t>
    <phoneticPr fontId="2" type="noConversion"/>
  </si>
  <si>
    <t>입력값</t>
    <phoneticPr fontId="2" type="noConversion"/>
  </si>
  <si>
    <t>TestUser0123456</t>
    <phoneticPr fontId="2" type="noConversion"/>
  </si>
  <si>
    <t>기대값</t>
    <phoneticPr fontId="2" type="noConversion"/>
  </si>
  <si>
    <t>TestUser012345</t>
    <phoneticPr fontId="2" type="noConversion"/>
  </si>
  <si>
    <t>임의특수문자(!,*,@,★ 등)</t>
    <phoneticPr fontId="2" type="noConversion"/>
  </si>
  <si>
    <t>입력되지 않음</t>
    <phoneticPr fontId="2" type="noConversion"/>
  </si>
  <si>
    <t>TestUser01234!@#abcd1</t>
    <phoneticPr fontId="2" type="noConversion"/>
  </si>
  <si>
    <t>TestUser01234!@#abcd</t>
    <phoneticPr fontId="2" type="noConversion"/>
  </si>
  <si>
    <t>마스킹</t>
    <phoneticPr fontId="2" type="noConversion"/>
  </si>
  <si>
    <t>abc1234</t>
    <phoneticPr fontId="2" type="noConversion"/>
  </si>
  <si>
    <t>●●●●●●●</t>
    <phoneticPr fontId="2" type="noConversion"/>
  </si>
  <si>
    <r>
      <t xml:space="preserve">최대값(20자) 입력 가능여부 확인
</t>
    </r>
    <r>
      <rPr>
        <sz val="8"/>
        <color rgb="FF000000"/>
        <rFont val="맑은 고딕"/>
        <family val="3"/>
        <charset val="129"/>
      </rPr>
      <t xml:space="preserve">※로그인 버튼클릭후, LoginPost의 페이로드의 pwd가 </t>
    </r>
    <r>
      <rPr>
        <b/>
        <sz val="8"/>
        <color rgb="FF000000"/>
        <rFont val="맑은 고딕"/>
        <family val="3"/>
        <charset val="129"/>
      </rPr>
      <t>기대값</t>
    </r>
    <r>
      <rPr>
        <sz val="8"/>
        <color rgb="FF000000"/>
        <rFont val="맑은 고딕"/>
        <family val="3"/>
        <charset val="129"/>
      </rPr>
      <t>이 되어있는것을 확인</t>
    </r>
    <phoneticPr fontId="2" type="noConversion"/>
  </si>
  <si>
    <r>
      <t xml:space="preserve">입력한 비밀번호가 로그인 페이지에서 마스킹처리 되는것을 확인
</t>
    </r>
    <r>
      <rPr>
        <sz val="8"/>
        <color rgb="FF000000"/>
        <rFont val="맑은 고딕"/>
        <family val="3"/>
        <charset val="129"/>
      </rPr>
      <t xml:space="preserve">※로그인 버튼클릭후, LoginPost의 페이로드의 pwd가 </t>
    </r>
    <r>
      <rPr>
        <b/>
        <sz val="8"/>
        <color rgb="FF000000"/>
        <rFont val="맑은 고딕"/>
        <family val="3"/>
        <charset val="129"/>
      </rPr>
      <t>입력값</t>
    </r>
    <r>
      <rPr>
        <sz val="8"/>
        <color rgb="FF000000"/>
        <rFont val="맑은 고딕"/>
        <family val="3"/>
        <charset val="129"/>
      </rPr>
      <t>과 동일한 것을 확인</t>
    </r>
    <phoneticPr fontId="2" type="noConversion"/>
  </si>
  <si>
    <t>User Login</t>
    <phoneticPr fontId="2" type="noConversion"/>
  </si>
  <si>
    <t>Sign in</t>
    <phoneticPr fontId="2" type="noConversion"/>
  </si>
  <si>
    <t>Sign up</t>
    <phoneticPr fontId="2" type="noConversion"/>
  </si>
  <si>
    <t>Password</t>
    <phoneticPr fontId="2" type="noConversion"/>
  </si>
  <si>
    <t>올바른 User ID,PW 입력후, 네트워크 연결해제</t>
    <phoneticPr fontId="2" type="noConversion"/>
  </si>
  <si>
    <t>로그인 버튼 클릭</t>
    <phoneticPr fontId="2" type="noConversion"/>
  </si>
  <si>
    <r>
      <rPr>
        <b/>
        <sz val="11"/>
        <color rgb="FFFF0000"/>
        <rFont val="맑은 고딕"/>
        <family val="3"/>
        <charset val="129"/>
      </rPr>
      <t>잘못된</t>
    </r>
    <r>
      <rPr>
        <sz val="11"/>
        <color rgb="FF000000"/>
        <rFont val="맑은 고딕"/>
        <family val="3"/>
        <charset val="129"/>
      </rPr>
      <t xml:space="preserve"> User ID,PW 입력후, 네트워크 연결해제</t>
    </r>
    <phoneticPr fontId="2" type="noConversion"/>
  </si>
  <si>
    <r>
      <t xml:space="preserve">User ID,PW </t>
    </r>
    <r>
      <rPr>
        <b/>
        <sz val="11"/>
        <color rgb="FF000000"/>
        <rFont val="맑은 고딕"/>
        <family val="3"/>
        <charset val="129"/>
      </rPr>
      <t>미입력</t>
    </r>
    <r>
      <rPr>
        <sz val="11"/>
        <color rgb="FF000000"/>
        <rFont val="맑은 고딕"/>
        <family val="3"/>
        <charset val="129"/>
      </rPr>
      <t xml:space="preserve"> 상태, 네트워크 연결해제</t>
    </r>
    <phoneticPr fontId="2" type="noConversion"/>
  </si>
  <si>
    <t>추가동작</t>
    <phoneticPr fontId="2" type="noConversion"/>
  </si>
  <si>
    <r>
      <rPr>
        <sz val="10"/>
        <color rgb="FF000000"/>
        <rFont val="맑은 고딕"/>
        <family val="3"/>
        <charset val="129"/>
      </rPr>
      <t>해당 필드 클릭후, CapsLock을 켜서 필드하부에 메시지가 표시되는것을 확인</t>
    </r>
    <r>
      <rPr>
        <sz val="11"/>
        <color rgb="FF000000"/>
        <rFont val="맑은 고딕"/>
        <family val="3"/>
        <charset val="129"/>
      </rPr>
      <t xml:space="preserve">
</t>
    </r>
    <r>
      <rPr>
        <sz val="9"/>
        <color rgb="FF000000"/>
        <rFont val="맑은 고딕"/>
        <family val="3"/>
        <charset val="129"/>
      </rPr>
      <t>※CapsLock을 끄면 해당메세지가 삭제되는것을 확인</t>
    </r>
    <phoneticPr fontId="2" type="noConversion"/>
  </si>
  <si>
    <t>CapsLock On/Off</t>
    <phoneticPr fontId="2" type="noConversion"/>
  </si>
  <si>
    <t>"Caps Lock이 켜져 있습니다."</t>
    <phoneticPr fontId="2" type="noConversion"/>
  </si>
  <si>
    <t>Login_FieldID2_TC3</t>
  </si>
  <si>
    <t>Login_FieldID2_TC4</t>
  </si>
  <si>
    <t>Login_FieldID3_TC3</t>
  </si>
  <si>
    <t>Login_FieldID3_TC4</t>
  </si>
  <si>
    <t>Login_FieldID3_TC5</t>
  </si>
  <si>
    <t>네트워크 연결후, 새로고침(F5) 할 것</t>
    <phoneticPr fontId="2" type="noConversion"/>
  </si>
  <si>
    <r>
      <t xml:space="preserve">로그인에 </t>
    </r>
    <r>
      <rPr>
        <b/>
        <sz val="11"/>
        <color rgb="FF0070C0"/>
        <rFont val="맑은 고딕"/>
        <family val="3"/>
        <charset val="129"/>
      </rPr>
      <t>성공</t>
    </r>
    <r>
      <rPr>
        <sz val="11"/>
        <rFont val="맑은 고딕"/>
        <family val="3"/>
        <charset val="129"/>
      </rPr>
      <t>하여, 홈페이지로 이동할 것</t>
    </r>
    <phoneticPr fontId="2" type="noConversion"/>
  </si>
  <si>
    <r>
      <t>이하와 같이 Alert메세지 표시
- 타이틀 : "로그인 실패"
- 메시지 :</t>
    </r>
    <r>
      <rPr>
        <b/>
        <sz val="11"/>
        <color rgb="FF000000"/>
        <rFont val="맑은 고딕"/>
        <family val="3"/>
        <charset val="129"/>
      </rPr>
      <t xml:space="preserve"> "아이디와 비밀번호를 입력해주세요."</t>
    </r>
    <r>
      <rPr>
        <sz val="11"/>
        <color rgb="FF000000"/>
        <rFont val="맑은 고딕"/>
        <family val="3"/>
        <charset val="129"/>
      </rPr>
      <t xml:space="preserve">
- 버튼 : "확인"</t>
    </r>
    <phoneticPr fontId="2" type="noConversion"/>
  </si>
  <si>
    <r>
      <t xml:space="preserve">로그인에 </t>
    </r>
    <r>
      <rPr>
        <b/>
        <sz val="11"/>
        <color rgb="FFFF0000"/>
        <rFont val="맑은 고딕"/>
        <family val="3"/>
        <charset val="129"/>
      </rPr>
      <t>실패</t>
    </r>
    <r>
      <rPr>
        <sz val="11"/>
        <color rgb="FF000000"/>
        <rFont val="맑은 고딕"/>
        <family val="3"/>
        <charset val="129"/>
      </rPr>
      <t xml:space="preserve">하여, 이하와 같이 Alert메세지 표시
- 타이틀 : "로그인 실패"
- 메시지 : </t>
    </r>
    <r>
      <rPr>
        <b/>
        <sz val="11"/>
        <color rgb="FF000000"/>
        <rFont val="맑은 고딕"/>
        <family val="3"/>
        <charset val="129"/>
      </rPr>
      <t>"아이디 또는 비밀번호가 올바르지 않습니다."</t>
    </r>
    <r>
      <rPr>
        <sz val="11"/>
        <color rgb="FF000000"/>
        <rFont val="맑은 고딕"/>
        <family val="3"/>
        <charset val="129"/>
      </rPr>
      <t xml:space="preserve">
- 버튼 : "확인"</t>
    </r>
    <phoneticPr fontId="2" type="noConversion"/>
  </si>
  <si>
    <t>T</t>
    <phoneticPr fontId="2" type="noConversion"/>
  </si>
  <si>
    <r>
      <t xml:space="preserve">하기 URL로 이동될 것
</t>
    </r>
    <r>
      <rPr>
        <b/>
        <sz val="11"/>
        <color rgb="FF000000"/>
        <rFont val="맑은 고딕"/>
        <family val="3"/>
        <charset val="129"/>
      </rPr>
      <t>http://laundry365.store:8080/LoginInfo/LoginPost</t>
    </r>
    <phoneticPr fontId="2" type="noConversion"/>
  </si>
  <si>
    <r>
      <t>로그인 실패 Alert메세지가</t>
    </r>
    <r>
      <rPr>
        <b/>
        <sz val="11"/>
        <color rgb="FF000000"/>
        <rFont val="맑은 고딕"/>
        <family val="3"/>
        <charset val="129"/>
      </rPr>
      <t xml:space="preserve"> </t>
    </r>
    <r>
      <rPr>
        <b/>
        <sz val="11"/>
        <color rgb="FFFF0000"/>
        <rFont val="맑은 고딕"/>
        <family val="3"/>
        <charset val="129"/>
      </rPr>
      <t>재표시되지 않을 것</t>
    </r>
    <phoneticPr fontId="2" type="noConversion"/>
  </si>
  <si>
    <t>로그인페이지  Edge Case
(네트워크연결 끊김 및 Alert재표시 확인)</t>
    <phoneticPr fontId="2" type="noConversion"/>
  </si>
  <si>
    <t>TestCase List</t>
    <phoneticPr fontId="2" type="noConversion"/>
  </si>
  <si>
    <t>Positive Case</t>
  </si>
  <si>
    <t>Positive Case</t>
    <phoneticPr fontId="2" type="noConversion"/>
  </si>
  <si>
    <t>Case Sheet</t>
    <phoneticPr fontId="2" type="noConversion"/>
  </si>
  <si>
    <t>Result</t>
    <phoneticPr fontId="2" type="noConversion"/>
  </si>
  <si>
    <t>FieldRule Case</t>
  </si>
  <si>
    <t>FieldRule Case</t>
    <phoneticPr fontId="2" type="noConversion"/>
  </si>
  <si>
    <t>Negative Case</t>
  </si>
  <si>
    <t>Edge Case</t>
  </si>
  <si>
    <t>행 레이블</t>
  </si>
  <si>
    <t>총합계</t>
  </si>
  <si>
    <t>개수 : Result</t>
  </si>
  <si>
    <t>Test Detail Resilt</t>
    <phoneticPr fontId="2" type="noConversion"/>
  </si>
  <si>
    <t>로그인 페이지 FieldRule Case</t>
    <phoneticPr fontId="2" type="noConversion"/>
  </si>
  <si>
    <t>Step</t>
    <phoneticPr fontId="2" type="noConversion"/>
  </si>
  <si>
    <t>Action</t>
    <phoneticPr fontId="2" type="noConversion"/>
  </si>
  <si>
    <t>E2E Case</t>
    <phoneticPr fontId="2" type="noConversion"/>
  </si>
  <si>
    <t>시나리오ID</t>
    <phoneticPr fontId="2" type="noConversion"/>
  </si>
  <si>
    <t>E2E_Order_Critical_01</t>
    <phoneticPr fontId="2" type="noConversion"/>
  </si>
  <si>
    <t>시나리오 요약</t>
    <phoneticPr fontId="2" type="noConversion"/>
  </si>
  <si>
    <t>사전 조건</t>
    <phoneticPr fontId="2" type="noConversion"/>
  </si>
  <si>
    <t>테스트 목적</t>
    <phoneticPr fontId="2" type="noConversion"/>
  </si>
  <si>
    <t>기대결과1</t>
    <phoneticPr fontId="2" type="noConversion"/>
  </si>
  <si>
    <t>기대결과2</t>
    <phoneticPr fontId="2" type="noConversion"/>
  </si>
  <si>
    <t>1. 테스트용 신규 계정(test_user_01) 작성 및 활성화 상태
2. 결제는 테스트 환경에서의 결제진행</t>
    <phoneticPr fontId="2" type="noConversion"/>
  </si>
  <si>
    <r>
      <t xml:space="preserve">로그인페이지에서 </t>
    </r>
    <r>
      <rPr>
        <b/>
        <sz val="11"/>
        <color rgb="FF000000"/>
        <rFont val="맑은 고딕"/>
        <family val="3"/>
        <charset val="129"/>
      </rPr>
      <t>test_user_01</t>
    </r>
    <r>
      <rPr>
        <sz val="11"/>
        <color rgb="FF000000"/>
        <rFont val="맑은 고딕"/>
        <family val="3"/>
        <charset val="129"/>
      </rPr>
      <t>로 로그인</t>
    </r>
    <phoneticPr fontId="2" type="noConversion"/>
  </si>
  <si>
    <r>
      <t xml:space="preserve">홈페이지에서 네비게이션 바의 </t>
    </r>
    <r>
      <rPr>
        <b/>
        <sz val="11"/>
        <color rgb="FF000000"/>
        <rFont val="맑은 고딕"/>
        <family val="3"/>
        <charset val="129"/>
      </rPr>
      <t xml:space="preserve">예약안내 버튼 </t>
    </r>
    <r>
      <rPr>
        <sz val="11"/>
        <color rgb="FF000000"/>
        <rFont val="맑은 고딕"/>
        <family val="3"/>
        <charset val="129"/>
      </rPr>
      <t>클릭</t>
    </r>
    <phoneticPr fontId="2" type="noConversion"/>
  </si>
  <si>
    <t>예약안내 페이지로 이동</t>
    <phoneticPr fontId="2" type="noConversion"/>
  </si>
  <si>
    <t>4개의 카테고리 표시 및 선택가능할 것</t>
    <phoneticPr fontId="2" type="noConversion"/>
  </si>
  <si>
    <t>상품선택 페이지로 이동</t>
    <phoneticPr fontId="2" type="noConversion"/>
  </si>
  <si>
    <t>상품명이 "생활빨래" 로 표시</t>
    <phoneticPr fontId="2" type="noConversion"/>
  </si>
  <si>
    <t>기대결과3</t>
    <phoneticPr fontId="2" type="noConversion"/>
  </si>
  <si>
    <r>
      <t xml:space="preserve">이동한 홈페이지의 </t>
    </r>
    <r>
      <rPr>
        <b/>
        <sz val="11"/>
        <color rgb="FF000000"/>
        <rFont val="맑은 고딕"/>
        <family val="3"/>
        <charset val="129"/>
      </rPr>
      <t>URL</t>
    </r>
    <r>
      <rPr>
        <sz val="11"/>
        <color rgb="FF000000"/>
        <rFont val="맑은 고딕"/>
        <family val="3"/>
        <charset val="129"/>
      </rPr>
      <t>이 하기와 동일할 것
http://laundry365.store:8080/</t>
    </r>
    <phoneticPr fontId="2" type="noConversion"/>
  </si>
  <si>
    <r>
      <t xml:space="preserve">이동한 홈페이지의 </t>
    </r>
    <r>
      <rPr>
        <b/>
        <sz val="11"/>
        <color rgb="FF000000"/>
        <rFont val="맑은 고딕"/>
        <family val="3"/>
        <charset val="129"/>
      </rPr>
      <t>URL</t>
    </r>
    <r>
      <rPr>
        <sz val="11"/>
        <color rgb="FF000000"/>
        <rFont val="맑은 고딕"/>
        <family val="3"/>
        <charset val="129"/>
      </rPr>
      <t>이 하기와 동일할 것
http://laundry365.store:8080/Reserve/Select?category=</t>
    </r>
    <r>
      <rPr>
        <b/>
        <sz val="11"/>
        <color rgb="FF000000"/>
        <rFont val="맑은 고딕"/>
        <family val="3"/>
        <charset val="129"/>
      </rPr>
      <t>clothes</t>
    </r>
    <phoneticPr fontId="2" type="noConversion"/>
  </si>
  <si>
    <t>비고</t>
    <phoneticPr fontId="2" type="noConversion"/>
  </si>
  <si>
    <t>각각의 상품 가격이 올바르게 표시</t>
    <phoneticPr fontId="2" type="noConversion"/>
  </si>
  <si>
    <t>총 상품 금액이 올바르게 표시</t>
    <phoneticPr fontId="2" type="noConversion"/>
  </si>
  <si>
    <r>
      <t xml:space="preserve">옵션에서 임의의 </t>
    </r>
    <r>
      <rPr>
        <b/>
        <sz val="11"/>
        <color rgb="FF000000"/>
        <rFont val="맑은 고딕"/>
        <family val="3"/>
        <charset val="129"/>
      </rPr>
      <t>복수 상품선택</t>
    </r>
    <r>
      <rPr>
        <sz val="11"/>
        <color rgb="FF000000"/>
        <rFont val="맑은 고딕"/>
        <family val="3"/>
        <charset val="129"/>
      </rPr>
      <t xml:space="preserve"> 후 수량 변경</t>
    </r>
    <phoneticPr fontId="2" type="noConversion"/>
  </si>
  <si>
    <r>
      <rPr>
        <b/>
        <sz val="11"/>
        <color rgb="FF000000"/>
        <rFont val="맑은 고딕"/>
        <family val="3"/>
        <charset val="129"/>
      </rPr>
      <t>생활빨래</t>
    </r>
    <r>
      <rPr>
        <sz val="11"/>
        <color rgb="FF000000"/>
        <rFont val="맑은 고딕"/>
        <family val="3"/>
        <charset val="129"/>
      </rPr>
      <t xml:space="preserve"> 카테고리선택</t>
    </r>
    <phoneticPr fontId="2" type="noConversion"/>
  </si>
  <si>
    <t>상품가격 : PriceGuideData.xlsx 참조</t>
    <phoneticPr fontId="2" type="noConversion"/>
  </si>
  <si>
    <t>결제 페이지로 이동</t>
    <phoneticPr fontId="2" type="noConversion"/>
  </si>
  <si>
    <t>예약하기 버튼 활성화</t>
    <phoneticPr fontId="2" type="noConversion"/>
  </si>
  <si>
    <r>
      <t xml:space="preserve">예약날짜 설정 후 </t>
    </r>
    <r>
      <rPr>
        <b/>
        <sz val="11"/>
        <color rgb="FF000000"/>
        <rFont val="맑은 고딕"/>
        <family val="3"/>
        <charset val="129"/>
      </rPr>
      <t>예약하기 버튼</t>
    </r>
    <r>
      <rPr>
        <sz val="11"/>
        <color rgb="FF000000"/>
        <rFont val="맑은 고딕"/>
        <family val="3"/>
        <charset val="129"/>
      </rPr>
      <t xml:space="preserve"> 클릭 </t>
    </r>
    <r>
      <rPr>
        <sz val="8"/>
        <color rgb="FF000000"/>
        <rFont val="맑은 고딕"/>
        <family val="3"/>
        <charset val="129"/>
      </rPr>
      <t>※개발자도구 네트워크탭 활성화</t>
    </r>
    <phoneticPr fontId="2" type="noConversion"/>
  </si>
  <si>
    <t>상품, 수량, 총 주문가격, 수거날짜가 선택/입력한 내용과 일치 할 것</t>
    <phoneticPr fontId="2" type="noConversion"/>
  </si>
  <si>
    <t>URL 파라미터 중 price 값을 임의의 낮은 금액으로 변경 후 엔터키로 이동
(예시 : 가격%2F4000%2F5000 → 가격%2F40%2F50)</t>
    <phoneticPr fontId="2" type="noConversion"/>
  </si>
  <si>
    <t>Alert메세지의 확인버튼 클릭</t>
    <phoneticPr fontId="2" type="noConversion"/>
  </si>
  <si>
    <r>
      <t xml:space="preserve">상품, 수량, 총 주문가격, 수거날짜가 선택/입력한 내용과 일치 할 것
</t>
    </r>
    <r>
      <rPr>
        <sz val="9"/>
        <color rgb="FF000000"/>
        <rFont val="맑은 고딕"/>
        <family val="3"/>
        <charset val="129"/>
      </rPr>
      <t>※Step5의 기대결과와 동일</t>
    </r>
    <phoneticPr fontId="2" type="noConversion"/>
  </si>
  <si>
    <r>
      <t xml:space="preserve">결제 페이지로 이동
</t>
    </r>
    <r>
      <rPr>
        <sz val="9"/>
        <color rgb="FF000000"/>
        <rFont val="맑은 고딕"/>
        <family val="3"/>
        <charset val="129"/>
      </rPr>
      <t>※Step5의 기대결과와 동일</t>
    </r>
    <phoneticPr fontId="2" type="noConversion"/>
  </si>
  <si>
    <r>
      <rPr>
        <b/>
        <sz val="11"/>
        <color rgb="FF000000"/>
        <rFont val="맑은 고딕"/>
        <family val="3"/>
        <charset val="129"/>
      </rPr>
      <t xml:space="preserve">[API] </t>
    </r>
    <r>
      <rPr>
        <sz val="11"/>
        <color rgb="FF000000"/>
        <rFont val="맑은 고딕"/>
        <family val="3"/>
        <charset val="129"/>
      </rPr>
      <t xml:space="preserve">GET /Reserve/Payment 호출 시, 페이로드의 name, price, count, date, category가 선택 값대로 정확히 전달 된 것을 확인
</t>
    </r>
    <r>
      <rPr>
        <sz val="9"/>
        <color rgb="FF000000"/>
        <rFont val="맑은 고딕"/>
        <family val="3"/>
        <charset val="129"/>
      </rPr>
      <t>※Step5의 기대결과와 동일</t>
    </r>
    <phoneticPr fontId="2" type="noConversion"/>
  </si>
  <si>
    <r>
      <rPr>
        <b/>
        <sz val="11"/>
        <color rgb="FF000000"/>
        <rFont val="맑은 고딕"/>
        <family val="3"/>
        <charset val="129"/>
      </rPr>
      <t xml:space="preserve">[API] </t>
    </r>
    <r>
      <rPr>
        <sz val="11"/>
        <color rgb="FF000000"/>
        <rFont val="맑은 고딕"/>
        <family val="3"/>
        <charset val="129"/>
      </rPr>
      <t>GET /Reserve/Payment 호출 시, 페이로드의 name, price, count, date, category가 선택 값대로 정확히 전달 된 것을 확인</t>
    </r>
    <phoneticPr fontId="2" type="noConversion"/>
  </si>
  <si>
    <t>※해당 케이스는 파라미터 변조를 통한 결제 금액 위변조 가능성을 확인하기 위함</t>
    <phoneticPr fontId="2" type="noConversion"/>
  </si>
  <si>
    <t>요청사항, 결제 정보 이메일 입력후 카드결제 버튼클릭</t>
    <phoneticPr fontId="2" type="noConversion"/>
  </si>
  <si>
    <t>KG이니시스 결제화면 표시</t>
    <phoneticPr fontId="2" type="noConversion"/>
  </si>
  <si>
    <t>상품명, 상품가격, 결재금액이 올바른 값일 것</t>
    <phoneticPr fontId="2" type="noConversion"/>
  </si>
  <si>
    <t>테스트카드로 결제완료</t>
    <phoneticPr fontId="2" type="noConversion"/>
  </si>
  <si>
    <t>신청내역확인 페이지로 이동</t>
    <phoneticPr fontId="2" type="noConversion"/>
  </si>
  <si>
    <t>결제완료한 주문이 표시되는 것을 확인</t>
    <phoneticPr fontId="2" type="noConversion"/>
  </si>
  <si>
    <t>해당 주문에 대한 상세보기 버튼클릭</t>
    <phoneticPr fontId="2" type="noConversion"/>
  </si>
  <si>
    <t>※주문번호를 확인/메모</t>
    <phoneticPr fontId="2" type="noConversion"/>
  </si>
  <si>
    <r>
      <t>이동한 홈페이지의</t>
    </r>
    <r>
      <rPr>
        <b/>
        <sz val="11"/>
        <color rgb="FF000000"/>
        <rFont val="맑은 고딕"/>
        <family val="3"/>
        <charset val="129"/>
      </rPr>
      <t xml:space="preserve"> URL이 하기를 포함</t>
    </r>
    <r>
      <rPr>
        <sz val="11"/>
        <color rgb="FF000000"/>
        <rFont val="맑은 고딕"/>
        <family val="3"/>
        <charset val="129"/>
      </rPr>
      <t>할 것
http://laundry365.store:8080/LoginInfo/Mypage/OrderList?pageNum=1</t>
    </r>
    <phoneticPr fontId="2" type="noConversion"/>
  </si>
  <si>
    <t>주문상세 페이지로 이동</t>
    <phoneticPr fontId="2" type="noConversion"/>
  </si>
  <si>
    <t>주문정보 및 주문내용이 올바른 값일 것</t>
    <phoneticPr fontId="2" type="noConversion"/>
  </si>
  <si>
    <t>주문관리 페이지로 이동</t>
    <phoneticPr fontId="2" type="noConversion"/>
  </si>
  <si>
    <r>
      <t xml:space="preserve">이동한 홈페이지의 </t>
    </r>
    <r>
      <rPr>
        <b/>
        <sz val="11"/>
        <color rgb="FF000000"/>
        <rFont val="맑은 고딕"/>
        <family val="3"/>
        <charset val="129"/>
      </rPr>
      <t>URL</t>
    </r>
    <r>
      <rPr>
        <sz val="11"/>
        <color rgb="FF000000"/>
        <rFont val="맑은 고딕"/>
        <family val="3"/>
        <charset val="129"/>
      </rPr>
      <t>이 하기와 동일할 것
http://laundry365.store:8080/LoginInfo/Mypage/OrderList</t>
    </r>
    <phoneticPr fontId="2" type="noConversion"/>
  </si>
  <si>
    <t>신규회원의 복수상품 예약 및 결제와 금액변조 차단확인,  관리자의 상태 변경 통합 검증</t>
    <phoneticPr fontId="2" type="noConversion"/>
  </si>
  <si>
    <t>[관리자] test_adminuser_01로 로그인하여 주문관리 버튼클릭</t>
    <phoneticPr fontId="2" type="noConversion"/>
  </si>
  <si>
    <t>※로그아웃</t>
    <phoneticPr fontId="2" type="noConversion"/>
  </si>
  <si>
    <t>[사용자] 신청내역확인 페이지 이동</t>
    <phoneticPr fontId="2" type="noConversion"/>
  </si>
  <si>
    <t>[사용자] 해당 주문의 주문상세 페이지 이동</t>
    <phoneticPr fontId="2" type="noConversion"/>
  </si>
  <si>
    <t>※송장번호를 확인/메모 및 로그아웃</t>
    <phoneticPr fontId="2" type="noConversion"/>
  </si>
  <si>
    <r>
      <rPr>
        <b/>
        <sz val="11"/>
        <color rgb="FF000000"/>
        <rFont val="맑은 고딕"/>
        <family val="3"/>
        <charset val="129"/>
      </rPr>
      <t>Alert메세지 표시</t>
    </r>
    <r>
      <rPr>
        <sz val="11"/>
        <color rgb="FF000000"/>
        <rFont val="맑은 고딕"/>
        <family val="3"/>
        <charset val="129"/>
      </rPr>
      <t xml:space="preserve">
- 타이틀 : Error
- 메시지 : </t>
    </r>
    <r>
      <rPr>
        <b/>
        <sz val="11"/>
        <color rgb="FF000000"/>
        <rFont val="맑은 고딕"/>
        <family val="3"/>
        <charset val="129"/>
      </rPr>
      <t>"잘못된 접근입니다."</t>
    </r>
    <r>
      <rPr>
        <sz val="11"/>
        <color rgb="FF000000"/>
        <rFont val="맑은 고딕"/>
        <family val="3"/>
        <charset val="129"/>
      </rPr>
      <t xml:space="preserve">
- 버튼 : "확인"</t>
    </r>
    <phoneticPr fontId="2" type="noConversion"/>
  </si>
  <si>
    <r>
      <rPr>
        <b/>
        <sz val="11"/>
        <color rgb="FF000000"/>
        <rFont val="맑은 고딕"/>
        <family val="3"/>
        <charset val="129"/>
      </rPr>
      <t>Alert메세지 표시</t>
    </r>
    <r>
      <rPr>
        <sz val="11"/>
        <color rgb="FF000000"/>
        <rFont val="맑은 고딕"/>
        <family val="3"/>
        <charset val="129"/>
      </rPr>
      <t xml:space="preserve">
- 타이틀 : 결제완료
- 메시지 : "</t>
    </r>
    <r>
      <rPr>
        <b/>
        <sz val="11"/>
        <color rgb="FF000000"/>
        <rFont val="맑은 고딕"/>
        <family val="3"/>
        <charset val="129"/>
      </rPr>
      <t>결제가 완료되었습니다.</t>
    </r>
    <r>
      <rPr>
        <sz val="11"/>
        <color rgb="FF000000"/>
        <rFont val="맑은 고딕"/>
        <family val="3"/>
        <charset val="129"/>
      </rPr>
      <t>"
- 버튼 : "확인"</t>
    </r>
    <phoneticPr fontId="2" type="noConversion"/>
  </si>
  <si>
    <r>
      <t xml:space="preserve">주문관리 페이지에서 해당 주문의 </t>
    </r>
    <r>
      <rPr>
        <b/>
        <sz val="11"/>
        <color rgb="FF000000"/>
        <rFont val="맑은 고딕"/>
        <family val="3"/>
        <charset val="129"/>
      </rPr>
      <t>수거/반환용 송장번호 표시</t>
    </r>
    <phoneticPr fontId="2" type="noConversion"/>
  </si>
  <si>
    <r>
      <t>처리상태가 "</t>
    </r>
    <r>
      <rPr>
        <b/>
        <sz val="11"/>
        <color rgb="FF000000"/>
        <rFont val="맑은 고딕"/>
        <family val="3"/>
        <charset val="129"/>
      </rPr>
      <t>반환완료</t>
    </r>
    <r>
      <rPr>
        <sz val="11"/>
        <color rgb="FF000000"/>
        <rFont val="맑은 고딕"/>
        <family val="3"/>
        <charset val="129"/>
      </rPr>
      <t>" 로 표시</t>
    </r>
    <phoneticPr fontId="2" type="noConversion"/>
  </si>
  <si>
    <r>
      <t>주문상태가 "</t>
    </r>
    <r>
      <rPr>
        <b/>
        <sz val="11"/>
        <color rgb="FF000000"/>
        <rFont val="맑은 고딕"/>
        <family val="3"/>
        <charset val="129"/>
      </rPr>
      <t>반환완료</t>
    </r>
    <r>
      <rPr>
        <sz val="11"/>
        <color rgb="FF000000"/>
        <rFont val="맑은 고딕"/>
        <family val="3"/>
        <charset val="129"/>
      </rPr>
      <t>" 로 표시</t>
    </r>
    <phoneticPr fontId="2" type="noConversion"/>
  </si>
  <si>
    <r>
      <t>후기작성이 "</t>
    </r>
    <r>
      <rPr>
        <b/>
        <sz val="11"/>
        <color rgb="FF000000"/>
        <rFont val="맑은 고딕"/>
        <family val="3"/>
        <charset val="129"/>
      </rPr>
      <t>작성하기</t>
    </r>
    <r>
      <rPr>
        <sz val="11"/>
        <color rgb="FF000000"/>
        <rFont val="맑은 고딕"/>
        <family val="3"/>
        <charset val="129"/>
      </rPr>
      <t xml:space="preserve">"로 표시 및 </t>
    </r>
    <r>
      <rPr>
        <b/>
        <sz val="11"/>
        <color rgb="FF000000"/>
        <rFont val="맑은 고딕"/>
        <family val="3"/>
        <charset val="129"/>
      </rPr>
      <t>활성화</t>
    </r>
    <r>
      <rPr>
        <sz val="11"/>
        <color rgb="FF000000"/>
        <rFont val="맑은 고딕"/>
        <family val="3"/>
        <charset val="129"/>
      </rPr>
      <t xml:space="preserve"> 상태</t>
    </r>
    <phoneticPr fontId="2" type="noConversion"/>
  </si>
  <si>
    <r>
      <t xml:space="preserve">주문상세 페이지에서 해당 주문의 </t>
    </r>
    <r>
      <rPr>
        <b/>
        <sz val="11"/>
        <color rgb="FF000000"/>
        <rFont val="맑은 고딕"/>
        <family val="3"/>
        <charset val="129"/>
      </rPr>
      <t>수거/반환용 송장번호 표시</t>
    </r>
    <phoneticPr fontId="2" type="noConversion"/>
  </si>
  <si>
    <t>신규 유입 사용자의 핵심 시나리오인 '로그인 - 예약 - 결제'에 이르는 전체 비즈니스 로직 검증</t>
    <phoneticPr fontId="2" type="noConversion"/>
  </si>
  <si>
    <t>[관리자] 주문번호 검색 후, 수거용 송장번호 발급 버튼클릭</t>
    <phoneticPr fontId="2" type="noConversion"/>
  </si>
  <si>
    <r>
      <t xml:space="preserve">주문관리 페이지에서 해당 주문의 </t>
    </r>
    <r>
      <rPr>
        <b/>
        <sz val="11"/>
        <color rgb="FF000000"/>
        <rFont val="맑은 고딕"/>
        <family val="3"/>
        <charset val="129"/>
      </rPr>
      <t>수거용 송장번호 표시</t>
    </r>
    <phoneticPr fontId="2" type="noConversion"/>
  </si>
  <si>
    <r>
      <t xml:space="preserve">주문상세 페이지에서 해당 주문의 </t>
    </r>
    <r>
      <rPr>
        <b/>
        <sz val="11"/>
        <color rgb="FF000000"/>
        <rFont val="맑은 고딕"/>
        <family val="3"/>
        <charset val="129"/>
      </rPr>
      <t>수거용 송장번호 표시</t>
    </r>
    <phoneticPr fontId="2" type="noConversion"/>
  </si>
  <si>
    <t>해당주문의 상태 "결제완료"일 것</t>
    <phoneticPr fontId="2" type="noConversion"/>
  </si>
  <si>
    <t>[관리자] 주문상태를 "세탁완료"로 변경 후, 반환용 송장번호 발급 버튼클릭</t>
    <phoneticPr fontId="2" type="noConversion"/>
  </si>
  <si>
    <t>해당주문의 상태 "세탁완료"일 것</t>
    <phoneticPr fontId="2" type="noConversion"/>
  </si>
  <si>
    <r>
      <t xml:space="preserve">주문상세 페이지에서 해당 주문의 </t>
    </r>
    <r>
      <rPr>
        <b/>
        <sz val="11"/>
        <color rgb="FF000000"/>
        <rFont val="맑은 고딕"/>
        <family val="3"/>
        <charset val="129"/>
      </rPr>
      <t>반환용 송장번호 표시</t>
    </r>
    <phoneticPr fontId="2" type="noConversion"/>
  </si>
  <si>
    <r>
      <t xml:space="preserve">주문관리 페이지에서 해당 주문의 </t>
    </r>
    <r>
      <rPr>
        <b/>
        <sz val="11"/>
        <color rgb="FF000000"/>
        <rFont val="맑은 고딕"/>
        <family val="3"/>
        <charset val="129"/>
      </rPr>
      <t>반환용 송장번호 표시</t>
    </r>
    <phoneticPr fontId="2" type="noConversion"/>
  </si>
  <si>
    <t>[관리자] 주문상태를 "반환완료"로 변경</t>
    <phoneticPr fontId="2" type="noConversion"/>
  </si>
  <si>
    <t>해당주문의 상태 "반환완료"일 것</t>
    <phoneticPr fontId="2" type="noConversion"/>
  </si>
  <si>
    <r>
      <t xml:space="preserve">주문상세 페이지에서 해당 주문의 </t>
    </r>
    <r>
      <rPr>
        <b/>
        <sz val="11"/>
        <color rgb="FF000000"/>
        <rFont val="맑은 고딕"/>
        <family val="3"/>
        <charset val="129"/>
      </rPr>
      <t>수거/반환용 송장번호 표시</t>
    </r>
    <r>
      <rPr>
        <sz val="11"/>
        <color rgb="FF000000"/>
        <rFont val="맑은 고딕"/>
        <family val="3"/>
        <charset val="129"/>
      </rPr>
      <t xml:space="preserve">
</t>
    </r>
    <r>
      <rPr>
        <sz val="9"/>
        <color rgb="FF000000"/>
        <rFont val="맑은 고딕"/>
        <family val="3"/>
        <charset val="129"/>
      </rPr>
      <t>※Step15에서 확인한 송장번호와 동일할 것</t>
    </r>
    <phoneticPr fontId="2" type="noConversion"/>
  </si>
  <si>
    <r>
      <t xml:space="preserve">신청내역확인 페이지에서 해당 주문의 </t>
    </r>
    <r>
      <rPr>
        <b/>
        <sz val="11"/>
        <color rgb="FF000000"/>
        <rFont val="맑은 고딕"/>
        <family val="3"/>
        <charset val="129"/>
      </rPr>
      <t>수거/반환용 송장번호 표시</t>
    </r>
    <r>
      <rPr>
        <sz val="11"/>
        <color rgb="FF000000"/>
        <rFont val="맑은 고딕"/>
        <family val="3"/>
        <charset val="129"/>
      </rPr>
      <t xml:space="preserve">
</t>
    </r>
    <r>
      <rPr>
        <sz val="9"/>
        <color rgb="FF000000"/>
        <rFont val="맑은 고딕"/>
        <family val="3"/>
        <charset val="129"/>
      </rPr>
      <t>※Step15에서 확인한 송장번호와 동일할 것</t>
    </r>
    <phoneticPr fontId="2" type="noConversion"/>
  </si>
  <si>
    <t>실행결과(Pass/Fail)</t>
    <phoneticPr fontId="2" type="noConversion"/>
  </si>
  <si>
    <t>E2E Case</t>
  </si>
  <si>
    <t>E2E Case</t>
    <phoneticPr fontId="2" type="noConversion"/>
  </si>
  <si>
    <t>E2E_Order_Critical_01</t>
    <phoneticPr fontId="2" type="noConversion"/>
  </si>
  <si>
    <t>열 레이블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</si>
</sst>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1"/>
      <color rgb="FF00000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  <font>
      <b/>
      <sz val="11"/>
      <color rgb="FF000000"/>
      <name val="MS Gothic"/>
      <family val="3"/>
      <charset val="128"/>
    </font>
    <font>
      <b/>
      <sz val="11"/>
      <color rgb="FFFF0000"/>
      <name val="MS Gothic"/>
      <family val="3"/>
      <charset val="128"/>
    </font>
    <font>
      <b/>
      <sz val="11"/>
      <color rgb="FF000000"/>
      <name val="Yu Gothic"/>
      <family val="3"/>
      <charset val="128"/>
    </font>
    <font>
      <sz val="9"/>
      <color rgb="FF000000"/>
      <name val="맑은 고딕"/>
      <family val="3"/>
      <charset val="129"/>
    </font>
    <font>
      <b/>
      <sz val="11"/>
      <name val="Yu Gothic"/>
      <family val="3"/>
      <charset val="128"/>
    </font>
    <font>
      <b/>
      <sz val="11"/>
      <name val="Yu Gothic"/>
      <family val="2"/>
    </font>
    <font>
      <b/>
      <sz val="11"/>
      <color rgb="FF0070C0"/>
      <name val="맑은 고딕"/>
      <family val="3"/>
      <charset val="129"/>
    </font>
    <font>
      <sz val="11"/>
      <color theme="0"/>
      <name val="맑은 고딕"/>
      <family val="3"/>
      <charset val="129"/>
    </font>
    <font>
      <b/>
      <sz val="18"/>
      <color theme="0"/>
      <name val="HY헤드라인M"/>
      <family val="1"/>
      <charset val="129"/>
    </font>
    <font>
      <sz val="18"/>
      <color theme="0"/>
      <name val="HY헤드라인M"/>
      <family val="1"/>
      <charset val="129"/>
    </font>
    <font>
      <b/>
      <sz val="22"/>
      <color theme="0"/>
      <name val="HY헤드라인M"/>
      <family val="1"/>
      <charset val="129"/>
    </font>
    <font>
      <sz val="22"/>
      <color theme="0"/>
      <name val="HY헤드라인M"/>
      <family val="1"/>
      <charset val="129"/>
    </font>
    <font>
      <b/>
      <sz val="20"/>
      <color theme="0"/>
      <name val="HY헤드라인M"/>
      <family val="1"/>
      <charset val="129"/>
    </font>
    <font>
      <sz val="20"/>
      <color theme="0"/>
      <name val="HY헤드라인M"/>
      <family val="1"/>
      <charset val="129"/>
    </font>
    <font>
      <u/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  <scheme val="major"/>
    </font>
    <font>
      <b/>
      <sz val="11"/>
      <color rgb="FFFF0000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70C0"/>
        <bgColor indexed="64"/>
      </patternFill>
    </fill>
  </fills>
  <borders count="5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medium">
        <color indexed="64"/>
      </right>
      <top style="thick">
        <color auto="1"/>
      </top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6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1" fillId="3" borderId="3" xfId="0" applyFont="1" applyFill="1" applyBorder="1" applyAlignment="1">
      <alignment horizontal="center" vertical="center"/>
    </xf>
    <xf numFmtId="0" fontId="1" fillId="4" borderId="1" xfId="0" applyFont="1" applyFill="1" applyBorder="1">
      <alignment vertical="center"/>
    </xf>
    <xf numFmtId="0" fontId="3" fillId="0" borderId="2" xfId="0" applyFont="1" applyBorder="1" applyAlignment="1">
      <alignment horizontal="center" vertical="center" textRotation="90"/>
    </xf>
    <xf numFmtId="0" fontId="1" fillId="2" borderId="4" xfId="0" applyFont="1" applyFill="1" applyBorder="1">
      <alignment vertical="center"/>
    </xf>
    <xf numFmtId="0" fontId="1" fillId="4" borderId="8" xfId="0" applyFont="1" applyFill="1" applyBorder="1">
      <alignment vertical="center"/>
    </xf>
    <xf numFmtId="0" fontId="1" fillId="4" borderId="9" xfId="0" applyFont="1" applyFill="1" applyBorder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vertical="center" wrapText="1"/>
    </xf>
    <xf numFmtId="0" fontId="1" fillId="4" borderId="4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5" fillId="3" borderId="1" xfId="0" applyFont="1" applyFill="1" applyBorder="1" applyAlignment="1">
      <alignment vertical="center" wrapText="1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10" xfId="0" applyFont="1" applyFill="1" applyBorder="1" applyAlignment="1">
      <alignment horizontal="center" vertical="center"/>
    </xf>
    <xf numFmtId="0" fontId="7" fillId="5" borderId="8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3" borderId="15" xfId="0" applyFont="1" applyFill="1" applyBorder="1">
      <alignment vertical="center"/>
    </xf>
    <xf numFmtId="0" fontId="3" fillId="3" borderId="18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5" fillId="3" borderId="9" xfId="0" applyFont="1" applyFill="1" applyBorder="1" applyAlignment="1">
      <alignment vertical="center" wrapText="1"/>
    </xf>
    <xf numFmtId="0" fontId="3" fillId="0" borderId="13" xfId="0" applyFont="1" applyBorder="1" applyAlignment="1">
      <alignment horizontal="center" vertical="center" textRotation="90"/>
    </xf>
    <xf numFmtId="0" fontId="3" fillId="0" borderId="19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2" borderId="32" xfId="0" applyFont="1" applyFill="1" applyBorder="1" applyAlignment="1">
      <alignment horizontal="center" vertical="center"/>
    </xf>
    <xf numFmtId="0" fontId="1" fillId="4" borderId="23" xfId="0" applyFont="1" applyFill="1" applyBorder="1">
      <alignment vertical="center"/>
    </xf>
    <xf numFmtId="0" fontId="3" fillId="0" borderId="2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5" borderId="16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vertical="center" wrapText="1"/>
    </xf>
    <xf numFmtId="0" fontId="6" fillId="2" borderId="8" xfId="0" applyFont="1" applyFill="1" applyBorder="1">
      <alignment vertical="center"/>
    </xf>
    <xf numFmtId="0" fontId="5" fillId="2" borderId="8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1" fillId="0" borderId="9" xfId="0" applyFont="1" applyBorder="1" applyAlignment="1">
      <alignment horizontal="center" vertical="center"/>
    </xf>
    <xf numFmtId="0" fontId="1" fillId="0" borderId="9" xfId="0" applyFont="1" applyBorder="1">
      <alignment vertical="center"/>
    </xf>
    <xf numFmtId="0" fontId="3" fillId="7" borderId="29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0" fontId="3" fillId="7" borderId="19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>
      <alignment vertical="center"/>
    </xf>
    <xf numFmtId="0" fontId="0" fillId="0" borderId="40" xfId="0" applyBorder="1">
      <alignment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3" fillId="0" borderId="13" xfId="0" applyFont="1" applyBorder="1" applyAlignment="1">
      <alignment horizontal="center" textRotation="90"/>
    </xf>
    <xf numFmtId="0" fontId="21" fillId="0" borderId="0" xfId="0" applyFont="1">
      <alignment vertical="center"/>
    </xf>
    <xf numFmtId="0" fontId="1" fillId="3" borderId="9" xfId="0" applyFont="1" applyFill="1" applyBorder="1" applyAlignment="1">
      <alignment horizontal="left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5" fillId="5" borderId="14" xfId="0" applyFont="1" applyFill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7" fillId="5" borderId="8" xfId="0" applyFont="1" applyFill="1" applyBorder="1" applyAlignment="1">
      <alignment horizontal="center" vertical="center"/>
    </xf>
    <xf numFmtId="0" fontId="27" fillId="0" borderId="8" xfId="0" applyFont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25" fillId="5" borderId="9" xfId="0" applyFont="1" applyFill="1" applyBorder="1" applyAlignment="1">
      <alignment horizontal="center" vertical="center"/>
    </xf>
    <xf numFmtId="0" fontId="25" fillId="5" borderId="3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5" borderId="16" xfId="0" applyFont="1" applyFill="1" applyBorder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pivotButton="1">
      <alignment vertical="center"/>
    </xf>
    <xf numFmtId="0" fontId="0" fillId="5" borderId="1" xfId="0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1" fillId="8" borderId="1" xfId="0" applyFont="1" applyFill="1" applyBorder="1">
      <alignment vertical="center"/>
    </xf>
    <xf numFmtId="0" fontId="1" fillId="8" borderId="1" xfId="0" applyFont="1" applyFill="1" applyBorder="1" applyAlignment="1">
      <alignment vertical="center" wrapText="1"/>
    </xf>
    <xf numFmtId="0" fontId="3" fillId="2" borderId="29" xfId="0" applyFont="1" applyFill="1" applyBorder="1">
      <alignment vertical="center"/>
    </xf>
    <xf numFmtId="0" fontId="3" fillId="2" borderId="30" xfId="0" applyFont="1" applyFill="1" applyBorder="1">
      <alignment vertical="center"/>
    </xf>
    <xf numFmtId="0" fontId="3" fillId="2" borderId="31" xfId="0" applyFont="1" applyFill="1" applyBorder="1">
      <alignment vertical="center"/>
    </xf>
    <xf numFmtId="0" fontId="3" fillId="7" borderId="15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/>
    </xf>
    <xf numFmtId="0" fontId="3" fillId="7" borderId="17" xfId="0" applyFont="1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1" fillId="8" borderId="8" xfId="0" applyFont="1" applyFill="1" applyBorder="1">
      <alignment vertical="center"/>
    </xf>
    <xf numFmtId="0" fontId="1" fillId="4" borderId="8" xfId="0" applyFont="1" applyFill="1" applyBorder="1" applyAlignment="1">
      <alignment vertical="center" wrapText="1"/>
    </xf>
    <xf numFmtId="0" fontId="0" fillId="0" borderId="19" xfId="0" applyBorder="1">
      <alignment vertical="center"/>
    </xf>
    <xf numFmtId="0" fontId="0" fillId="6" borderId="30" xfId="0" applyFill="1" applyBorder="1" applyAlignment="1">
      <alignment horizontal="center" vertical="center"/>
    </xf>
    <xf numFmtId="0" fontId="0" fillId="0" borderId="21" xfId="0" applyBorder="1">
      <alignment vertical="center"/>
    </xf>
    <xf numFmtId="0" fontId="1" fillId="0" borderId="21" xfId="0" applyFont="1" applyBorder="1">
      <alignment vertical="center"/>
    </xf>
    <xf numFmtId="0" fontId="3" fillId="0" borderId="21" xfId="0" applyFont="1" applyBorder="1" applyAlignment="1">
      <alignment vertical="center" wrapText="1"/>
    </xf>
    <xf numFmtId="0" fontId="0" fillId="6" borderId="31" xfId="0" applyFill="1" applyBorder="1" applyAlignment="1">
      <alignment horizontal="center" vertical="center"/>
    </xf>
    <xf numFmtId="0" fontId="1" fillId="8" borderId="9" xfId="0" applyFont="1" applyFill="1" applyBorder="1">
      <alignment vertical="center"/>
    </xf>
    <xf numFmtId="0" fontId="1" fillId="4" borderId="9" xfId="0" applyFont="1" applyFill="1" applyBorder="1" applyAlignment="1">
      <alignment vertical="center" wrapText="1"/>
    </xf>
    <xf numFmtId="0" fontId="0" fillId="0" borderId="24" xfId="0" applyBorder="1">
      <alignment vertical="center"/>
    </xf>
    <xf numFmtId="0" fontId="0" fillId="5" borderId="9" xfId="0" applyFill="1" applyBorder="1">
      <alignment vertical="center"/>
    </xf>
    <xf numFmtId="0" fontId="0" fillId="5" borderId="8" xfId="0" applyFill="1" applyBorder="1">
      <alignment vertical="center"/>
    </xf>
    <xf numFmtId="0" fontId="3" fillId="3" borderId="48" xfId="0" applyFont="1" applyFill="1" applyBorder="1" applyAlignment="1">
      <alignment horizontal="center" vertical="center"/>
    </xf>
    <xf numFmtId="0" fontId="3" fillId="0" borderId="49" xfId="0" applyFont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7" fillId="10" borderId="5" xfId="0" applyFont="1" applyFill="1" applyBorder="1" applyAlignment="1">
      <alignment horizontal="center" vertical="center"/>
    </xf>
    <xf numFmtId="0" fontId="18" fillId="10" borderId="6" xfId="0" applyFont="1" applyFill="1" applyBorder="1" applyAlignment="1">
      <alignment horizontal="center" vertical="center"/>
    </xf>
    <xf numFmtId="0" fontId="18" fillId="10" borderId="7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8" borderId="15" xfId="0" applyFont="1" applyFill="1" applyBorder="1" applyAlignment="1">
      <alignment horizontal="center" vertical="center" wrapText="1"/>
    </xf>
    <xf numFmtId="0" fontId="1" fillId="8" borderId="16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 wrapText="1"/>
    </xf>
    <xf numFmtId="0" fontId="5" fillId="3" borderId="2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9" fillId="10" borderId="25" xfId="0" applyFont="1" applyFill="1" applyBorder="1" applyAlignment="1">
      <alignment horizontal="center" vertical="center"/>
    </xf>
    <xf numFmtId="0" fontId="20" fillId="10" borderId="26" xfId="0" applyFont="1" applyFill="1" applyBorder="1" applyAlignment="1">
      <alignment horizontal="center" vertical="center"/>
    </xf>
    <xf numFmtId="0" fontId="20" fillId="10" borderId="27" xfId="0" applyFont="1" applyFill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3" fillId="2" borderId="32" xfId="0" applyFont="1" applyFill="1" applyBorder="1" applyAlignment="1">
      <alignment horizontal="center" vertical="center" wrapText="1"/>
    </xf>
    <xf numFmtId="0" fontId="3" fillId="2" borderId="30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3" fillId="4" borderId="2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23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15" fillId="10" borderId="25" xfId="0" applyFont="1" applyFill="1" applyBorder="1" applyAlignment="1">
      <alignment horizontal="center" vertical="center" wrapText="1"/>
    </xf>
    <xf numFmtId="0" fontId="14" fillId="10" borderId="26" xfId="0" applyFont="1" applyFill="1" applyBorder="1" applyAlignment="1">
      <alignment horizontal="center" vertical="center"/>
    </xf>
    <xf numFmtId="0" fontId="14" fillId="10" borderId="27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5" fillId="3" borderId="44" xfId="0" applyFont="1" applyFill="1" applyBorder="1" applyAlignment="1">
      <alignment horizontal="center" vertical="center" wrapText="1"/>
    </xf>
    <xf numFmtId="0" fontId="5" fillId="3" borderId="45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3" fillId="7" borderId="42" xfId="0" applyFont="1" applyFill="1" applyBorder="1" applyAlignment="1">
      <alignment horizontal="center" vertical="center"/>
    </xf>
    <xf numFmtId="0" fontId="3" fillId="7" borderId="43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6" fillId="10" borderId="4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4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" fillId="2" borderId="9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3" fillId="2" borderId="46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9" fillId="10" borderId="0" xfId="0" applyFont="1" applyFill="1" applyAlignment="1">
      <alignment horizontal="center" vertical="center"/>
    </xf>
  </cellXfs>
  <cellStyles count="1">
    <cellStyle name="표준" xfId="0" builtinId="0"/>
  </cellStyles>
  <dxfs count="28">
    <dxf>
      <fill>
        <patternFill>
          <bgColor rgb="FFFFCDCD"/>
        </patternFill>
      </fill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70C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0070C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strike val="0"/>
      </font>
      <fill>
        <patternFill>
          <bgColor theme="8" tint="0.79998168889431442"/>
        </patternFill>
      </fill>
    </dxf>
    <dxf>
      <font>
        <b/>
        <i val="0"/>
        <color rgb="FF0070C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0070C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Normal Style 1 - Accent 1" defaultPivotStyle="Light Style 1 - Accent 1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C5DCFF"/>
      <color rgb="FFFFCD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/>
              <a:t>Positive Case</a:t>
            </a:r>
            <a:endParaRPr lang="ko-KR" altLang="en-US" b="1"/>
          </a:p>
        </c:rich>
      </c:tx>
      <c:overlay val="0"/>
      <c:spPr>
        <a:solidFill>
          <a:schemeClr val="accent1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516-4E3B-8D4D-D30C10DD7D1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'Test Result'!$B$2:$B$4</c15:sqref>
                  </c15:fullRef>
                </c:ext>
              </c:extLst>
              <c:f>'Test Result'!$B$3:$B$4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'Test Result'!$C$2:$C$4</c15:sqref>
                  </c15:fullRef>
                </c:ext>
              </c:extLst>
              <c:f>'Test Result'!$C$3:$C$4</c:f>
              <c:numCache>
                <c:formatCode>General</c:formatCode>
                <c:ptCount val="2"/>
                <c:pt idx="0">
                  <c:v>15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16-4E3B-8D4D-D30C10DD7D1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96798943"/>
        <c:axId val="1296799423"/>
      </c:barChart>
      <c:catAx>
        <c:axId val="129679894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6799423"/>
        <c:crosses val="autoZero"/>
        <c:auto val="1"/>
        <c:lblAlgn val="ctr"/>
        <c:lblOffset val="100"/>
        <c:noMultiLvlLbl val="0"/>
      </c:catAx>
      <c:valAx>
        <c:axId val="12967994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96798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/>
              <a:t>Negative Case</a:t>
            </a:r>
            <a:endParaRPr lang="ko-KR" altLang="en-US" b="1"/>
          </a:p>
        </c:rich>
      </c:tx>
      <c:overlay val="0"/>
      <c:spPr>
        <a:solidFill>
          <a:schemeClr val="accent2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AEB-4268-87A0-79312058B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'Test Result'!$B$5:$B$7</c15:sqref>
                  </c15:fullRef>
                </c:ext>
              </c:extLst>
              <c:f>'Test Result'!$B$6:$B$7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'Test Result'!$C$5:$C$7</c15:sqref>
                  </c15:fullRef>
                </c:ext>
              </c:extLst>
              <c:f>'Test Result'!$C$6:$C$7</c:f>
              <c:numCache>
                <c:formatCode>General</c:formatCode>
                <c:ptCount val="2"/>
                <c:pt idx="0">
                  <c:v>10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EB-4268-87A0-79312058BE7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96798943"/>
        <c:axId val="1296799423"/>
      </c:barChart>
      <c:catAx>
        <c:axId val="12967989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6799423"/>
        <c:crosses val="autoZero"/>
        <c:auto val="1"/>
        <c:lblAlgn val="ctr"/>
        <c:lblOffset val="100"/>
        <c:noMultiLvlLbl val="0"/>
      </c:catAx>
      <c:valAx>
        <c:axId val="129679942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96798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Edge Case</a:t>
            </a:r>
          </a:p>
        </c:rich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774-4F50-A963-9F6AB193316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'Test Result'!$B$8:$B$10</c15:sqref>
                  </c15:fullRef>
                </c:ext>
              </c:extLst>
              <c:f>'Test Result'!$B$9:$B$10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'Test Result'!$C$8:$C$10</c15:sqref>
                  </c15:fullRef>
                </c:ext>
              </c:extLst>
              <c:f>'Test Result'!$C$9:$C$10</c:f>
              <c:numCache>
                <c:formatCode>General</c:formatCode>
                <c:ptCount val="2"/>
                <c:pt idx="0">
                  <c:v>6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74-4F50-A963-9F6AB193316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96798943"/>
        <c:axId val="1296799423"/>
      </c:barChart>
      <c:catAx>
        <c:axId val="129679894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6799423"/>
        <c:crosses val="autoZero"/>
        <c:auto val="1"/>
        <c:lblAlgn val="ctr"/>
        <c:lblOffset val="100"/>
        <c:noMultiLvlLbl val="0"/>
      </c:catAx>
      <c:valAx>
        <c:axId val="12967994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96798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/>
              <a:t>FieldRule Case</a:t>
            </a:r>
            <a:endParaRPr lang="ko-KR" altLang="en-US" b="1"/>
          </a:p>
        </c:rich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E4E-427A-B0FD-602BB2B230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'Test Result'!$B$11:$B$13</c15:sqref>
                  </c15:fullRef>
                </c:ext>
              </c:extLst>
              <c:f>'Test Result'!$B$12:$B$13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'Test Result'!$C$11:$C$13</c15:sqref>
                  </c15:fullRef>
                </c:ext>
              </c:extLst>
              <c:f>'Test Result'!$C$12:$C$13</c:f>
              <c:numCache>
                <c:formatCode>General</c:formatCode>
                <c:ptCount val="2"/>
                <c:pt idx="0">
                  <c:v>24</c:v>
                </c:pt>
                <c:pt idx="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E4E-427A-B0FD-602BB2B230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96798943"/>
        <c:axId val="1296799423"/>
      </c:barChart>
      <c:catAx>
        <c:axId val="129679894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6799423"/>
        <c:crosses val="autoZero"/>
        <c:auto val="1"/>
        <c:lblAlgn val="ctr"/>
        <c:lblOffset val="100"/>
        <c:noMultiLvlLbl val="0"/>
      </c:catAx>
      <c:valAx>
        <c:axId val="12967994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96798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/>
              <a:t>Test Result</a:t>
            </a:r>
            <a:endParaRPr lang="ko-KR" altLang="en-US" b="1"/>
          </a:p>
        </c:rich>
      </c:tx>
      <c:overlay val="0"/>
      <c:spPr>
        <a:solidFill>
          <a:srgbClr val="FFFF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665-4E40-BC95-ACCFD354B10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0E7-4639-A796-3024A410E4F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'Test Result'!$B$14:$B$16</c15:sqref>
                  </c15:fullRef>
                </c:ext>
              </c:extLst>
              <c:f>'Test Result'!$B$15:$B$16</c:f>
              <c:strCache>
                <c:ptCount val="2"/>
                <c:pt idx="0">
                  <c:v>Pass</c:v>
                </c:pt>
                <c:pt idx="1">
                  <c:v>Fail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'Test Result'!$C$14:$C$16</c15:sqref>
                  </c15:fullRef>
                </c:ext>
              </c:extLst>
              <c:f>'Test Result'!$C$15:$C$16</c:f>
              <c:numCache>
                <c:formatCode>General</c:formatCode>
                <c:ptCount val="2"/>
                <c:pt idx="0">
                  <c:v>55</c:v>
                </c:pt>
                <c:pt idx="1">
                  <c:v>14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2-1665-4E40-BC95-ACCFD354B1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[테스트케이스.xlsx]Test Result!피벗 테이블1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/>
              <a:t>Detail Result</a:t>
            </a:r>
            <a:endParaRPr lang="ko-KR" altLang="en-US" b="1"/>
          </a:p>
        </c:rich>
      </c:tx>
      <c:overlay val="0"/>
      <c:spPr>
        <a:solidFill>
          <a:srgbClr val="FFFF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'Test Result'!$L$22:$L$23</c:f>
              <c:strCache>
                <c:ptCount val="1"/>
                <c:pt idx="0">
                  <c:v>Fail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'Test Result'!$K$24:$K$29</c:f>
              <c:strCache>
                <c:ptCount val="5"/>
                <c:pt idx="0">
                  <c:v>Edge Case</c:v>
                </c:pt>
                <c:pt idx="1">
                  <c:v>Negative Case</c:v>
                </c:pt>
                <c:pt idx="2">
                  <c:v>Positive Case</c:v>
                </c:pt>
                <c:pt idx="3">
                  <c:v>FieldRule Case</c:v>
                </c:pt>
                <c:pt idx="4">
                  <c:v>E2E Case</c:v>
                </c:pt>
              </c:strCache>
            </c:strRef>
          </c:cat>
          <c:val>
            <c:numRef>
              <c:f>'Test Result'!$L$24:$L$29</c:f>
              <c:numCache>
                <c:formatCode>General</c:formatCode>
                <c:ptCount val="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BB-4B51-A198-E276338C03F3}"/>
            </c:ext>
          </c:extLst>
        </c:ser>
        <c:ser>
          <c:idx val="1"/>
          <c:order val="1"/>
          <c:tx>
            <c:strRef>
              <c:f>'Test Result'!$M$22:$M$23</c:f>
              <c:strCache>
                <c:ptCount val="1"/>
                <c:pt idx="0">
                  <c:v>Pass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'Test Result'!$K$24:$K$29</c:f>
              <c:strCache>
                <c:ptCount val="5"/>
                <c:pt idx="0">
                  <c:v>Edge Case</c:v>
                </c:pt>
                <c:pt idx="1">
                  <c:v>Negative Case</c:v>
                </c:pt>
                <c:pt idx="2">
                  <c:v>Positive Case</c:v>
                </c:pt>
                <c:pt idx="3">
                  <c:v>FieldRule Case</c:v>
                </c:pt>
                <c:pt idx="4">
                  <c:v>E2E Case</c:v>
                </c:pt>
              </c:strCache>
            </c:strRef>
          </c:cat>
          <c:val>
            <c:numRef>
              <c:f>'Test Result'!$M$24:$M$29</c:f>
              <c:numCache>
                <c:formatCode>General</c:formatCode>
                <c:ptCount val="5"/>
                <c:pt idx="0">
                  <c:v>6</c:v>
                </c:pt>
                <c:pt idx="1">
                  <c:v>10</c:v>
                </c:pt>
                <c:pt idx="2">
                  <c:v>15</c:v>
                </c:pt>
                <c:pt idx="3">
                  <c:v>24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BB-4B51-A198-E276338C03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3539855"/>
        <c:axId val="873543215"/>
      </c:barChart>
      <c:catAx>
        <c:axId val="873539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73543215"/>
        <c:crosses val="autoZero"/>
        <c:auto val="1"/>
        <c:lblAlgn val="ctr"/>
        <c:lblOffset val="100"/>
        <c:noMultiLvlLbl val="0"/>
      </c:catAx>
      <c:valAx>
        <c:axId val="873543215"/>
        <c:scaling>
          <c:orientation val="minMax"/>
          <c:max val="25"/>
        </c:scaling>
        <c:delete val="0"/>
        <c:axPos val="l"/>
        <c:majorGridlines>
          <c:spPr>
            <a:ln w="9525" cap="flat" cmpd="sng" algn="ctr">
              <a:solidFill>
                <a:schemeClr val="accent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7353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9</xdr:col>
      <xdr:colOff>0</xdr:colOff>
      <xdr:row>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A7098416-E5BE-1BA4-DF7F-80FBE8EDB5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7</xdr:row>
      <xdr:rowOff>19050</xdr:rowOff>
    </xdr:from>
    <xdr:to>
      <xdr:col>9</xdr:col>
      <xdr:colOff>0</xdr:colOff>
      <xdr:row>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554C6F64-DF3D-42A8-8A6E-02BF4B848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13</xdr:row>
      <xdr:rowOff>1</xdr:rowOff>
    </xdr:from>
    <xdr:to>
      <xdr:col>9</xdr:col>
      <xdr:colOff>0</xdr:colOff>
      <xdr:row>19</xdr:row>
      <xdr:rowOff>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5D046273-AE6C-4913-8BC5-7DFDC6D5D9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19</xdr:row>
      <xdr:rowOff>0</xdr:rowOff>
    </xdr:from>
    <xdr:to>
      <xdr:col>9</xdr:col>
      <xdr:colOff>0</xdr:colOff>
      <xdr:row>25</xdr:row>
      <xdr:rowOff>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95BF2593-E0EC-48C0-95F3-FEEFABD493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7843</xdr:colOff>
      <xdr:row>1</xdr:row>
      <xdr:rowOff>0</xdr:rowOff>
    </xdr:from>
    <xdr:to>
      <xdr:col>17</xdr:col>
      <xdr:colOff>19050</xdr:colOff>
      <xdr:row>18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8EE9B33E-4ABD-4CD3-8800-32246D61BF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280987</xdr:colOff>
      <xdr:row>27</xdr:row>
      <xdr:rowOff>28575</xdr:rowOff>
    </xdr:from>
    <xdr:to>
      <xdr:col>16</xdr:col>
      <xdr:colOff>595312</xdr:colOff>
      <xdr:row>40</xdr:row>
      <xdr:rowOff>47625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6910346-6139-76F2-57A9-020825051C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19050</xdr:colOff>
      <xdr:row>2</xdr:row>
      <xdr:rowOff>47625</xdr:rowOff>
    </xdr:from>
    <xdr:to>
      <xdr:col>19</xdr:col>
      <xdr:colOff>559460</xdr:colOff>
      <xdr:row>23</xdr:row>
      <xdr:rowOff>19050</xdr:rowOff>
    </xdr:to>
    <xdr:grpSp>
      <xdr:nvGrpSpPr>
        <xdr:cNvPr id="15" name="그룹 14">
          <a:extLst>
            <a:ext uri="{FF2B5EF4-FFF2-40B4-BE49-F238E27FC236}">
              <a16:creationId xmlns:a16="http://schemas.microsoft.com/office/drawing/2014/main" id="{807B844D-0711-E14F-5FEC-C068DACE0166}"/>
            </a:ext>
          </a:extLst>
        </xdr:cNvPr>
        <xdr:cNvGrpSpPr/>
      </xdr:nvGrpSpPr>
      <xdr:grpSpPr>
        <a:xfrm>
          <a:off x="14811375" y="1095375"/>
          <a:ext cx="6712610" cy="4810125"/>
          <a:chOff x="14506575" y="1095375"/>
          <a:chExt cx="6712610" cy="4657725"/>
        </a:xfrm>
      </xdr:grpSpPr>
      <xdr:pic>
        <xdr:nvPicPr>
          <xdr:cNvPr id="2" name="그림 1">
            <a:extLst>
              <a:ext uri="{FF2B5EF4-FFF2-40B4-BE49-F238E27FC236}">
                <a16:creationId xmlns:a16="http://schemas.microsoft.com/office/drawing/2014/main" id="{9681921D-8681-4F3F-B99F-B3DBE667DD7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4506575" y="1095375"/>
            <a:ext cx="6712610" cy="4649902"/>
          </a:xfrm>
          <a:prstGeom prst="rect">
            <a:avLst/>
          </a:prstGeom>
          <a:ln w="25400">
            <a:solidFill>
              <a:schemeClr val="tx1"/>
            </a:solidFill>
          </a:ln>
        </xdr:spPr>
      </xdr:pic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47461DB5-F9DC-EF4B-F25E-1AE856D1D62E}"/>
              </a:ext>
            </a:extLst>
          </xdr:cNvPr>
          <xdr:cNvSpPr txBox="1"/>
        </xdr:nvSpPr>
        <xdr:spPr>
          <a:xfrm>
            <a:off x="18202275" y="1643579"/>
            <a:ext cx="104775" cy="793669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1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44750DAE-7AEC-4B75-8C1F-A26B3460D5B0}"/>
              </a:ext>
            </a:extLst>
          </xdr:cNvPr>
          <xdr:cNvSpPr txBox="1"/>
        </xdr:nvSpPr>
        <xdr:spPr>
          <a:xfrm>
            <a:off x="18459450" y="2758817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2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44DCF523-AE91-4376-94A4-96E516F034BC}"/>
              </a:ext>
            </a:extLst>
          </xdr:cNvPr>
          <xdr:cNvSpPr txBox="1"/>
        </xdr:nvSpPr>
        <xdr:spPr>
          <a:xfrm>
            <a:off x="18478500" y="3064004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3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B45B8132-58FA-4A1F-B797-7E7F7E746D8C}"/>
              </a:ext>
            </a:extLst>
          </xdr:cNvPr>
          <xdr:cNvSpPr txBox="1"/>
        </xdr:nvSpPr>
        <xdr:spPr>
          <a:xfrm>
            <a:off x="18459450" y="3395928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4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52B157CE-4A5E-4E37-A758-5707DC72E46E}"/>
              </a:ext>
            </a:extLst>
          </xdr:cNvPr>
          <xdr:cNvSpPr txBox="1"/>
        </xdr:nvSpPr>
        <xdr:spPr>
          <a:xfrm>
            <a:off x="17106900" y="3686949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5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45990426-B50A-48F6-8947-CE97B3E2AEEB}"/>
              </a:ext>
            </a:extLst>
          </xdr:cNvPr>
          <xdr:cNvSpPr txBox="1"/>
        </xdr:nvSpPr>
        <xdr:spPr>
          <a:xfrm>
            <a:off x="18507075" y="3694154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6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FE87A3C-4C90-4826-9AC2-6E4003D479A9}"/>
              </a:ext>
            </a:extLst>
          </xdr:cNvPr>
          <xdr:cNvSpPr txBox="1"/>
        </xdr:nvSpPr>
        <xdr:spPr>
          <a:xfrm>
            <a:off x="14582775" y="1145079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7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A4F9C82F-0F16-46B9-85F2-72D6EDA48098}"/>
              </a:ext>
            </a:extLst>
          </xdr:cNvPr>
          <xdr:cNvSpPr txBox="1"/>
        </xdr:nvSpPr>
        <xdr:spPr>
          <a:xfrm>
            <a:off x="14611350" y="5480646"/>
            <a:ext cx="104775" cy="272454"/>
          </a:xfrm>
          <a:prstGeom prst="rect">
            <a:avLst/>
          </a:prstGeom>
          <a:noFill/>
        </xdr:spPr>
        <xdr:txBody>
          <a:bodyPr vertOverflow="clip" horzOverflow="clip" wrap="square" lIns="0" tIns="0" rIns="0" bIns="0" rtlCol="0" anchor="ctr" anchorCtr="0"/>
          <a:lstStyle/>
          <a:p>
            <a:r>
              <a:rPr lang="en-US" altLang="ko-KR" sz="1200" b="1">
                <a:solidFill>
                  <a:srgbClr val="FF0000"/>
                </a:solidFill>
                <a:latin typeface="HY견고딕" panose="02030600000101010101" pitchFamily="18" charset="-127"/>
                <a:ea typeface="HY견고딕" panose="02030600000101010101" pitchFamily="18" charset="-127"/>
              </a:rPr>
              <a:t>8</a:t>
            </a:r>
            <a:endParaRPr lang="ko-KR" altLang="en-US" sz="1200" b="1">
              <a:solidFill>
                <a:srgbClr val="FF0000"/>
              </a:solidFill>
              <a:latin typeface="HY견고딕" panose="02030600000101010101" pitchFamily="18" charset="-127"/>
              <a:ea typeface="HY견고딕" panose="02030600000101010101" pitchFamily="18" charset="-127"/>
            </a:endParaRPr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52049</xdr:rowOff>
    </xdr:from>
    <xdr:to>
      <xdr:col>16</xdr:col>
      <xdr:colOff>221249</xdr:colOff>
      <xdr:row>25</xdr:row>
      <xdr:rowOff>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BCD0122-3F43-9D5C-79EF-D7DFFADDF7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2049"/>
          <a:ext cx="11194049" cy="518670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k heo" refreshedDate="46132.86952951389" createdVersion="8" refreshedVersion="8" minRefreshableVersion="3" recordCount="70" xr:uid="{E54EA069-A569-4870-ACDA-BF2BA0E3B77C}">
  <cacheSource type="worksheet">
    <worksheetSource ref="S2:U72" sheet="Test Result"/>
  </cacheSource>
  <cacheFields count="3">
    <cacheField name="Case Sheet" numFmtId="0">
      <sharedItems count="5">
        <s v="Positive Case"/>
        <s v="Negative Case"/>
        <s v="Edge Case"/>
        <s v="FieldRule Case"/>
        <s v="E2E Case"/>
      </sharedItems>
    </cacheField>
    <cacheField name="TCID" numFmtId="0">
      <sharedItems/>
    </cacheField>
    <cacheField name="Result" numFmtId="0">
      <sharedItems count="2">
        <s v="Pass"/>
        <s v="Fai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s v="Login_PO_TC1"/>
    <x v="0"/>
  </r>
  <r>
    <x v="0"/>
    <s v="Login_PO_TC2"/>
    <x v="0"/>
  </r>
  <r>
    <x v="0"/>
    <s v="Login_PO_TC3"/>
    <x v="0"/>
  </r>
  <r>
    <x v="0"/>
    <s v="Login_PO_TC4"/>
    <x v="0"/>
  </r>
  <r>
    <x v="0"/>
    <s v="Login_PO_TC5"/>
    <x v="0"/>
  </r>
  <r>
    <x v="0"/>
    <s v="Login_PO_TC6"/>
    <x v="0"/>
  </r>
  <r>
    <x v="0"/>
    <s v="Login_PO_TC7"/>
    <x v="1"/>
  </r>
  <r>
    <x v="0"/>
    <s v="Login_PO_TC8"/>
    <x v="0"/>
  </r>
  <r>
    <x v="0"/>
    <s v="Login_PO_TC9"/>
    <x v="0"/>
  </r>
  <r>
    <x v="0"/>
    <s v="Login_PO_TC10"/>
    <x v="0"/>
  </r>
  <r>
    <x v="0"/>
    <s v="Login_PO_TC11"/>
    <x v="1"/>
  </r>
  <r>
    <x v="0"/>
    <s v="Login_PO_TC12"/>
    <x v="0"/>
  </r>
  <r>
    <x v="0"/>
    <s v="Login_PO_TC13"/>
    <x v="0"/>
  </r>
  <r>
    <x v="0"/>
    <s v="Login_PO_TC14"/>
    <x v="0"/>
  </r>
  <r>
    <x v="0"/>
    <s v="Login_PO_TC15"/>
    <x v="1"/>
  </r>
  <r>
    <x v="0"/>
    <s v="Login_PO_TC16"/>
    <x v="0"/>
  </r>
  <r>
    <x v="0"/>
    <s v="Login_PO_TC17"/>
    <x v="0"/>
  </r>
  <r>
    <x v="0"/>
    <s v="Login_PO_TC18"/>
    <x v="0"/>
  </r>
  <r>
    <x v="1"/>
    <s v="Login_NE_TC1"/>
    <x v="1"/>
  </r>
  <r>
    <x v="1"/>
    <s v="Login_NE_TC2"/>
    <x v="0"/>
  </r>
  <r>
    <x v="1"/>
    <s v="Login_NE_TC3"/>
    <x v="0"/>
  </r>
  <r>
    <x v="1"/>
    <s v="Login_NE_TC4"/>
    <x v="1"/>
  </r>
  <r>
    <x v="1"/>
    <s v="Login_NE_TC5"/>
    <x v="0"/>
  </r>
  <r>
    <x v="1"/>
    <s v="Login_NE_TC6"/>
    <x v="0"/>
  </r>
  <r>
    <x v="1"/>
    <s v="Login_NE_TC7"/>
    <x v="0"/>
  </r>
  <r>
    <x v="1"/>
    <s v="Login_NE_TC8"/>
    <x v="0"/>
  </r>
  <r>
    <x v="1"/>
    <s v="Login_NE_TC9"/>
    <x v="0"/>
  </r>
  <r>
    <x v="1"/>
    <s v="Login_NE_TC10"/>
    <x v="0"/>
  </r>
  <r>
    <x v="1"/>
    <s v="Login_NE_TC11"/>
    <x v="1"/>
  </r>
  <r>
    <x v="1"/>
    <s v="Login_NE_TC12"/>
    <x v="0"/>
  </r>
  <r>
    <x v="1"/>
    <s v="Login_NE_TC13"/>
    <x v="0"/>
  </r>
  <r>
    <x v="2"/>
    <s v="Login_Eg_TC1"/>
    <x v="0"/>
  </r>
  <r>
    <x v="2"/>
    <s v="Login_Eg_TC2"/>
    <x v="0"/>
  </r>
  <r>
    <x v="2"/>
    <s v="Login_Eg_TC3"/>
    <x v="1"/>
  </r>
  <r>
    <x v="2"/>
    <s v="Login_Eg_TC4"/>
    <x v="0"/>
  </r>
  <r>
    <x v="2"/>
    <s v="Login_Eg_TC5"/>
    <x v="0"/>
  </r>
  <r>
    <x v="2"/>
    <s v="Login_Eg_TC6"/>
    <x v="1"/>
  </r>
  <r>
    <x v="2"/>
    <s v="Login_Eg_TC7"/>
    <x v="0"/>
  </r>
  <r>
    <x v="2"/>
    <s v="Login_Eg_TC8"/>
    <x v="0"/>
  </r>
  <r>
    <x v="2"/>
    <s v="Login_Eg_TC9"/>
    <x v="1"/>
  </r>
  <r>
    <x v="3"/>
    <s v="Login_FieldID1_TC1"/>
    <x v="0"/>
  </r>
  <r>
    <x v="3"/>
    <s v="Login_FieldID2_TC1"/>
    <x v="0"/>
  </r>
  <r>
    <x v="3"/>
    <s v="Login_FieldID2_TC2"/>
    <x v="0"/>
  </r>
  <r>
    <x v="3"/>
    <s v="Login_FieldID2_TC3"/>
    <x v="1"/>
  </r>
  <r>
    <x v="3"/>
    <s v="Login_FieldID2_TC4"/>
    <x v="0"/>
  </r>
  <r>
    <x v="3"/>
    <s v="Login_FieldID3_TC1"/>
    <x v="0"/>
  </r>
  <r>
    <x v="3"/>
    <s v="Login_FieldID3_TC2"/>
    <x v="0"/>
  </r>
  <r>
    <x v="3"/>
    <s v="Login_FieldID3_TC3"/>
    <x v="1"/>
  </r>
  <r>
    <x v="3"/>
    <s v="Login_FieldID3_TC4"/>
    <x v="0"/>
  </r>
  <r>
    <x v="3"/>
    <s v="Login_FieldID3_TC5"/>
    <x v="1"/>
  </r>
  <r>
    <x v="3"/>
    <s v="Login_FieldID4_TC1"/>
    <x v="0"/>
  </r>
  <r>
    <x v="3"/>
    <s v="Login_FieldID4_TC2"/>
    <x v="0"/>
  </r>
  <r>
    <x v="3"/>
    <s v="Login_FieldID4_TC3"/>
    <x v="0"/>
  </r>
  <r>
    <x v="3"/>
    <s v="Login_FieldID4_TC4"/>
    <x v="0"/>
  </r>
  <r>
    <x v="3"/>
    <s v="Login_FieldID4_TC5"/>
    <x v="1"/>
  </r>
  <r>
    <x v="3"/>
    <s v="Login_FieldID5_TC1"/>
    <x v="0"/>
  </r>
  <r>
    <x v="3"/>
    <s v="Login_FieldID5_TC2"/>
    <x v="0"/>
  </r>
  <r>
    <x v="3"/>
    <s v="Login_FieldID5_TC3"/>
    <x v="0"/>
  </r>
  <r>
    <x v="3"/>
    <s v="Login_FieldID5_TC4"/>
    <x v="0"/>
  </r>
  <r>
    <x v="3"/>
    <s v="Login_FieldID5_TC5"/>
    <x v="0"/>
  </r>
  <r>
    <x v="3"/>
    <s v="Login_FieldID6_TC1"/>
    <x v="0"/>
  </r>
  <r>
    <x v="3"/>
    <s v="Login_FieldID6_TC2"/>
    <x v="0"/>
  </r>
  <r>
    <x v="3"/>
    <s v="Login_FieldID6_TC3"/>
    <x v="0"/>
  </r>
  <r>
    <x v="3"/>
    <s v="Login_FieldID6_TC4"/>
    <x v="0"/>
  </r>
  <r>
    <x v="3"/>
    <s v="Login_FieldID6_TC5"/>
    <x v="1"/>
  </r>
  <r>
    <x v="3"/>
    <s v="Login_FieldID7_TC1"/>
    <x v="0"/>
  </r>
  <r>
    <x v="3"/>
    <s v="Login_FieldID7_TC2"/>
    <x v="0"/>
  </r>
  <r>
    <x v="3"/>
    <s v="Login_FieldID8_TC1"/>
    <x v="0"/>
  </r>
  <r>
    <x v="3"/>
    <s v="Login_FieldID8_TC2"/>
    <x v="0"/>
  </r>
  <r>
    <x v="4"/>
    <s v="E2E_Order_Critical_0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4DFF61-44ED-449A-9C02-0A4EA28EC071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 chartFormat="5">
  <location ref="K22:N29" firstHeaderRow="1" firstDataRow="2" firstDataCol="1"/>
  <pivotFields count="3"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axis="axisCol" dataField="1" multipleItemSelectionAllowed="1" showAll="0">
      <items count="3">
        <item x="1"/>
        <item x="0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개수 : Result" fld="2" subtotal="count" baseField="0" baseItem="0"/>
  </dataFields>
  <chartFormats count="3">
    <chartFormat chart="0" format="16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Light Style 1 - Accent 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맑은 고딕"/>
        <a:ea typeface="맑은 고딕"/>
        <a:cs typeface=""/>
      </a:majorFont>
      <a:minorFont>
        <a:latin typeface="맑은 고딕"/>
        <a:ea typeface="맑은 고딕"/>
        <a:cs typeface="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3CD3D-F5F5-4E8E-96B0-CB9235DE1118}">
  <sheetPr>
    <tabColor rgb="FFFFFF00"/>
  </sheetPr>
  <dimension ref="A1:V72"/>
  <sheetViews>
    <sheetView tabSelected="1" topLeftCell="A13" zoomScaleNormal="100" workbookViewId="0">
      <selection activeCell="F36" sqref="F36"/>
    </sheetView>
  </sheetViews>
  <sheetFormatPr defaultRowHeight="16.5"/>
  <cols>
    <col min="1" max="1" width="15.375" bestFit="1" customWidth="1"/>
    <col min="4" max="4" width="4" customWidth="1"/>
    <col min="10" max="10" width="4" customWidth="1"/>
    <col min="11" max="11" width="15" bestFit="1" customWidth="1"/>
    <col min="12" max="12" width="11.875" bestFit="1" customWidth="1"/>
    <col min="13" max="13" width="11.875" customWidth="1"/>
    <col min="14" max="14" width="7.375" bestFit="1" customWidth="1"/>
    <col min="15" max="15" width="19.125" bestFit="1" customWidth="1"/>
    <col min="16" max="16" width="9.625" bestFit="1" customWidth="1"/>
    <col min="17" max="17" width="7.375" bestFit="1" customWidth="1"/>
    <col min="19" max="20" width="18.75" style="134" bestFit="1" customWidth="1"/>
    <col min="21" max="21" width="9.625" style="1" customWidth="1"/>
    <col min="22" max="22" width="11.875" style="1" bestFit="1" customWidth="1"/>
  </cols>
  <sheetData>
    <row r="1" spans="1:22">
      <c r="A1" s="259" t="s">
        <v>144</v>
      </c>
      <c r="B1" s="259"/>
      <c r="C1" s="259"/>
      <c r="S1" s="257" t="s">
        <v>234</v>
      </c>
      <c r="T1" s="257"/>
      <c r="U1" s="257"/>
      <c r="V1" s="257"/>
    </row>
    <row r="2" spans="1:22">
      <c r="A2" s="185" t="s">
        <v>236</v>
      </c>
      <c r="B2" s="31" t="s">
        <v>140</v>
      </c>
      <c r="C2" s="105">
        <f>COUNTA('Positive Case'!D1:U1)</f>
        <v>18</v>
      </c>
      <c r="S2" s="108" t="s">
        <v>237</v>
      </c>
      <c r="T2" s="108" t="s">
        <v>103</v>
      </c>
      <c r="U2" s="108" t="s">
        <v>238</v>
      </c>
      <c r="V2" s="108" t="s">
        <v>165</v>
      </c>
    </row>
    <row r="3" spans="1:22">
      <c r="A3" s="185"/>
      <c r="B3" s="30" t="s">
        <v>139</v>
      </c>
      <c r="C3" s="106">
        <f>COUNTIF('Positive Case'!D33:U33,"Pass")</f>
        <v>15</v>
      </c>
      <c r="S3" s="135" t="s">
        <v>236</v>
      </c>
      <c r="T3" s="135" t="s">
        <v>17</v>
      </c>
      <c r="U3" s="92" t="str">
        <f>HLOOKUP(T3,'Positive Case'!$D$1:$U$33,33,FALSE)</f>
        <v>Pass</v>
      </c>
      <c r="V3" s="92"/>
    </row>
    <row r="4" spans="1:22">
      <c r="A4" s="185"/>
      <c r="B4" s="2" t="s">
        <v>141</v>
      </c>
      <c r="C4" s="107">
        <f>COUNTIF('Positive Case'!D33:U33,"Fail")</f>
        <v>3</v>
      </c>
      <c r="S4" s="135" t="s">
        <v>236</v>
      </c>
      <c r="T4" s="135" t="s">
        <v>32</v>
      </c>
      <c r="U4" s="92" t="str">
        <f>HLOOKUP(T4,'Positive Case'!$D$1:$U$33,33,FALSE)</f>
        <v>Pass</v>
      </c>
      <c r="V4" s="92"/>
    </row>
    <row r="5" spans="1:22">
      <c r="A5" s="172" t="s">
        <v>142</v>
      </c>
      <c r="B5" s="31" t="s">
        <v>140</v>
      </c>
      <c r="C5" s="31">
        <f>COUNTA('Negative Case'!D1:P1)</f>
        <v>13</v>
      </c>
      <c r="S5" s="135" t="s">
        <v>236</v>
      </c>
      <c r="T5" s="135" t="s">
        <v>33</v>
      </c>
      <c r="U5" s="92" t="str">
        <f>HLOOKUP(T5,'Positive Case'!$D$1:$U$33,33,FALSE)</f>
        <v>Pass</v>
      </c>
      <c r="V5" s="92"/>
    </row>
    <row r="6" spans="1:22">
      <c r="A6" s="172"/>
      <c r="B6" s="30" t="s">
        <v>139</v>
      </c>
      <c r="C6" s="106">
        <f>COUNTIF('Negative Case'!D34:U34,"Pass")</f>
        <v>10</v>
      </c>
      <c r="S6" s="135" t="s">
        <v>236</v>
      </c>
      <c r="T6" s="135" t="s">
        <v>34</v>
      </c>
      <c r="U6" s="92" t="str">
        <f>HLOOKUP(T6,'Positive Case'!$D$1:$U$33,33,FALSE)</f>
        <v>Pass</v>
      </c>
      <c r="V6" s="92"/>
    </row>
    <row r="7" spans="1:22">
      <c r="A7" s="172"/>
      <c r="B7" s="2" t="s">
        <v>141</v>
      </c>
      <c r="C7" s="107">
        <f>COUNTIF('Negative Case'!D34:U34,"Fail")</f>
        <v>3</v>
      </c>
      <c r="S7" s="135" t="s">
        <v>236</v>
      </c>
      <c r="T7" s="135" t="s">
        <v>35</v>
      </c>
      <c r="U7" s="92" t="str">
        <f>HLOOKUP(T7,'Positive Case'!$D$1:$U$33,33,FALSE)</f>
        <v>Pass</v>
      </c>
      <c r="V7" s="92"/>
    </row>
    <row r="8" spans="1:22">
      <c r="A8" s="260" t="s">
        <v>143</v>
      </c>
      <c r="B8" s="31" t="s">
        <v>140</v>
      </c>
      <c r="C8" s="105">
        <f>COUNTA('Edge Case'!D1:L1)</f>
        <v>9</v>
      </c>
      <c r="S8" s="135" t="s">
        <v>236</v>
      </c>
      <c r="T8" s="135" t="s">
        <v>36</v>
      </c>
      <c r="U8" s="92" t="str">
        <f>HLOOKUP(T8,'Positive Case'!$D$1:$U$33,33,FALSE)</f>
        <v>Pass</v>
      </c>
      <c r="V8" s="92"/>
    </row>
    <row r="9" spans="1:22">
      <c r="A9" s="260"/>
      <c r="B9" s="30" t="s">
        <v>139</v>
      </c>
      <c r="C9" s="106">
        <f>COUNTIF('Edge Case'!D24:L24,"Pass")</f>
        <v>6</v>
      </c>
      <c r="S9" s="135" t="s">
        <v>236</v>
      </c>
      <c r="T9" s="135" t="s">
        <v>37</v>
      </c>
      <c r="U9" s="92" t="str">
        <f>HLOOKUP(T9,'Positive Case'!$D$1:$U$33,33,FALSE)</f>
        <v>Fail</v>
      </c>
      <c r="V9" s="91"/>
    </row>
    <row r="10" spans="1:22">
      <c r="A10" s="260"/>
      <c r="B10" s="2" t="s">
        <v>141</v>
      </c>
      <c r="C10" s="107">
        <f>COUNTIF('Edge Case'!D24:L24,"Fail")</f>
        <v>3</v>
      </c>
      <c r="S10" s="135" t="s">
        <v>236</v>
      </c>
      <c r="T10" s="135" t="s">
        <v>38</v>
      </c>
      <c r="U10" s="92" t="str">
        <f>HLOOKUP(T10,'Positive Case'!$D$1:$U$33,33,FALSE)</f>
        <v>Pass</v>
      </c>
      <c r="V10" s="92"/>
    </row>
    <row r="11" spans="1:22">
      <c r="A11" s="261" t="s">
        <v>240</v>
      </c>
      <c r="B11" s="31" t="s">
        <v>140</v>
      </c>
      <c r="C11" s="105">
        <f>COUNTA('FieldRule Case'!B3:B31)</f>
        <v>29</v>
      </c>
      <c r="S11" s="135" t="s">
        <v>236</v>
      </c>
      <c r="T11" s="135" t="s">
        <v>39</v>
      </c>
      <c r="U11" s="92" t="str">
        <f>HLOOKUP(T11,'Positive Case'!$D$1:$U$33,33,FALSE)</f>
        <v>Pass</v>
      </c>
      <c r="V11" s="92"/>
    </row>
    <row r="12" spans="1:22">
      <c r="A12" s="261"/>
      <c r="B12" s="30" t="s">
        <v>139</v>
      </c>
      <c r="C12" s="106">
        <f>COUNTIF('FieldRule Case'!I3:I31,"Pass")</f>
        <v>24</v>
      </c>
      <c r="S12" s="135" t="s">
        <v>236</v>
      </c>
      <c r="T12" s="135" t="s">
        <v>40</v>
      </c>
      <c r="U12" s="92" t="str">
        <f>HLOOKUP(T12,'Positive Case'!$D$1:$U$33,33,FALSE)</f>
        <v>Pass</v>
      </c>
      <c r="V12" s="92"/>
    </row>
    <row r="13" spans="1:22">
      <c r="A13" s="261"/>
      <c r="B13" s="2" t="s">
        <v>141</v>
      </c>
      <c r="C13" s="107">
        <f>COUNTIF('FieldRule Case'!I3:I31,"Fail")</f>
        <v>5</v>
      </c>
      <c r="S13" s="135" t="s">
        <v>236</v>
      </c>
      <c r="T13" s="135" t="s">
        <v>41</v>
      </c>
      <c r="U13" s="92" t="str">
        <f>HLOOKUP(T13,'Positive Case'!$D$1:$U$33,33,FALSE)</f>
        <v>Fail</v>
      </c>
      <c r="V13" s="91"/>
    </row>
    <row r="14" spans="1:22">
      <c r="A14" s="259" t="s">
        <v>140</v>
      </c>
      <c r="B14" s="27" t="s">
        <v>140</v>
      </c>
      <c r="C14" s="27">
        <f>SUM(C2,C5,C8,C11)</f>
        <v>69</v>
      </c>
      <c r="S14" s="135" t="s">
        <v>236</v>
      </c>
      <c r="T14" s="135" t="s">
        <v>42</v>
      </c>
      <c r="U14" s="92" t="str">
        <f>HLOOKUP(T14,'Positive Case'!$D$1:$U$33,33,FALSE)</f>
        <v>Pass</v>
      </c>
      <c r="V14" s="92"/>
    </row>
    <row r="15" spans="1:22">
      <c r="A15" s="259"/>
      <c r="B15" s="29" t="s">
        <v>139</v>
      </c>
      <c r="C15" s="29">
        <f>SUM(C3,C6,C9,C12)</f>
        <v>55</v>
      </c>
      <c r="S15" s="135" t="s">
        <v>236</v>
      </c>
      <c r="T15" s="135" t="s">
        <v>43</v>
      </c>
      <c r="U15" s="92" t="str">
        <f>HLOOKUP(T15,'Positive Case'!$D$1:$U$33,33,FALSE)</f>
        <v>Pass</v>
      </c>
      <c r="V15" s="92"/>
    </row>
    <row r="16" spans="1:22">
      <c r="A16" s="259"/>
      <c r="B16" s="28" t="s">
        <v>141</v>
      </c>
      <c r="C16" s="28">
        <f>SUM(C4,C7,C10,C13)</f>
        <v>14</v>
      </c>
      <c r="S16" s="135" t="s">
        <v>236</v>
      </c>
      <c r="T16" s="135" t="s">
        <v>44</v>
      </c>
      <c r="U16" s="92" t="str">
        <f>HLOOKUP(T16,'Positive Case'!$D$1:$U$33,33,FALSE)</f>
        <v>Pass</v>
      </c>
      <c r="V16" s="92"/>
    </row>
    <row r="17" spans="11:22">
      <c r="S17" s="135" t="s">
        <v>236</v>
      </c>
      <c r="T17" s="135" t="s">
        <v>45</v>
      </c>
      <c r="U17" s="92" t="str">
        <f>HLOOKUP(T17,'Positive Case'!$D$1:$U$33,33,FALSE)</f>
        <v>Fail</v>
      </c>
      <c r="V17" s="92"/>
    </row>
    <row r="18" spans="11:22">
      <c r="S18" s="135" t="s">
        <v>236</v>
      </c>
      <c r="T18" s="135" t="s">
        <v>46</v>
      </c>
      <c r="U18" s="92" t="str">
        <f>HLOOKUP(T18,'Positive Case'!$D$1:$U$33,33,FALSE)</f>
        <v>Pass</v>
      </c>
      <c r="V18" s="92"/>
    </row>
    <row r="19" spans="11:22">
      <c r="S19" s="135" t="s">
        <v>236</v>
      </c>
      <c r="T19" s="135" t="s">
        <v>47</v>
      </c>
      <c r="U19" s="92" t="str">
        <f>HLOOKUP(T19,'Positive Case'!$D$1:$U$33,33,FALSE)</f>
        <v>Pass</v>
      </c>
      <c r="V19" s="92"/>
    </row>
    <row r="20" spans="11:22">
      <c r="S20" s="135" t="s">
        <v>236</v>
      </c>
      <c r="T20" s="135" t="s">
        <v>70</v>
      </c>
      <c r="U20" s="92" t="str">
        <f>HLOOKUP(T20,'Positive Case'!$D$1:$U$33,33,FALSE)</f>
        <v>Pass</v>
      </c>
      <c r="V20" s="92"/>
    </row>
    <row r="21" spans="11:22">
      <c r="K21" s="258" t="s">
        <v>246</v>
      </c>
      <c r="L21" s="258"/>
      <c r="S21" s="135" t="s">
        <v>142</v>
      </c>
      <c r="T21" s="135" t="s">
        <v>59</v>
      </c>
      <c r="U21" s="92" t="str">
        <f>HLOOKUP(T21,'Negative Case'!$D$1:$P$34,34,FALSE)</f>
        <v>Fail</v>
      </c>
      <c r="V21" s="91" t="s">
        <v>164</v>
      </c>
    </row>
    <row r="22" spans="11:22">
      <c r="K22" s="137" t="s">
        <v>245</v>
      </c>
      <c r="L22" s="137" t="s">
        <v>328</v>
      </c>
      <c r="S22" s="135" t="s">
        <v>142</v>
      </c>
      <c r="T22" s="135" t="s">
        <v>60</v>
      </c>
      <c r="U22" s="92" t="str">
        <f>HLOOKUP(T22,'Negative Case'!$D$1:$P$34,34,FALSE)</f>
        <v>Pass</v>
      </c>
      <c r="V22" s="92"/>
    </row>
    <row r="23" spans="11:22">
      <c r="K23" s="137" t="s">
        <v>243</v>
      </c>
      <c r="L23" t="s">
        <v>137</v>
      </c>
      <c r="M23" t="s">
        <v>136</v>
      </c>
      <c r="N23" t="s">
        <v>244</v>
      </c>
      <c r="S23" s="135" t="s">
        <v>142</v>
      </c>
      <c r="T23" s="135" t="s">
        <v>61</v>
      </c>
      <c r="U23" s="92" t="str">
        <f>HLOOKUP(T23,'Negative Case'!$D$1:$P$34,34,FALSE)</f>
        <v>Pass</v>
      </c>
      <c r="V23" s="92"/>
    </row>
    <row r="24" spans="11:22">
      <c r="K24" s="134" t="s">
        <v>242</v>
      </c>
      <c r="L24">
        <v>3</v>
      </c>
      <c r="M24">
        <v>6</v>
      </c>
      <c r="N24">
        <v>9</v>
      </c>
      <c r="S24" s="135" t="s">
        <v>142</v>
      </c>
      <c r="T24" s="135" t="s">
        <v>62</v>
      </c>
      <c r="U24" s="92" t="str">
        <f>HLOOKUP(T24,'Negative Case'!$D$1:$P$34,34,FALSE)</f>
        <v>Fail</v>
      </c>
      <c r="V24" s="92"/>
    </row>
    <row r="25" spans="11:22">
      <c r="K25" s="134" t="s">
        <v>241</v>
      </c>
      <c r="L25">
        <v>3</v>
      </c>
      <c r="M25">
        <v>10</v>
      </c>
      <c r="N25">
        <v>13</v>
      </c>
      <c r="S25" s="135" t="s">
        <v>142</v>
      </c>
      <c r="T25" s="135" t="s">
        <v>63</v>
      </c>
      <c r="U25" s="92" t="str">
        <f>HLOOKUP(T25,'Negative Case'!$D$1:$P$34,34,FALSE)</f>
        <v>Pass</v>
      </c>
      <c r="V25" s="92"/>
    </row>
    <row r="26" spans="11:22">
      <c r="K26" s="134" t="s">
        <v>235</v>
      </c>
      <c r="L26">
        <v>3</v>
      </c>
      <c r="M26">
        <v>15</v>
      </c>
      <c r="N26">
        <v>18</v>
      </c>
      <c r="S26" s="135" t="s">
        <v>142</v>
      </c>
      <c r="T26" s="135" t="s">
        <v>64</v>
      </c>
      <c r="U26" s="92" t="str">
        <f>HLOOKUP(T26,'Negative Case'!$D$1:$P$34,34,FALSE)</f>
        <v>Pass</v>
      </c>
      <c r="V26" s="92"/>
    </row>
    <row r="27" spans="11:22">
      <c r="K27" s="134" t="s">
        <v>239</v>
      </c>
      <c r="L27">
        <v>5</v>
      </c>
      <c r="M27">
        <v>24</v>
      </c>
      <c r="N27">
        <v>29</v>
      </c>
      <c r="S27" s="135" t="s">
        <v>142</v>
      </c>
      <c r="T27" s="135" t="s">
        <v>65</v>
      </c>
      <c r="U27" s="92" t="str">
        <f>HLOOKUP(T27,'Negative Case'!$D$1:$P$34,34,FALSE)</f>
        <v>Pass</v>
      </c>
      <c r="V27" s="92"/>
    </row>
    <row r="28" spans="11:22">
      <c r="K28" s="134" t="s">
        <v>325</v>
      </c>
      <c r="M28">
        <v>1</v>
      </c>
      <c r="N28">
        <v>1</v>
      </c>
      <c r="S28" s="135" t="s">
        <v>142</v>
      </c>
      <c r="T28" s="135" t="s">
        <v>66</v>
      </c>
      <c r="U28" s="92" t="str">
        <f>HLOOKUP(T28,'Negative Case'!$D$1:$P$34,34,FALSE)</f>
        <v>Pass</v>
      </c>
      <c r="V28" s="92"/>
    </row>
    <row r="29" spans="11:22">
      <c r="K29" s="134" t="s">
        <v>244</v>
      </c>
      <c r="L29">
        <v>14</v>
      </c>
      <c r="M29">
        <v>56</v>
      </c>
      <c r="N29">
        <v>70</v>
      </c>
      <c r="S29" s="135" t="s">
        <v>142</v>
      </c>
      <c r="T29" s="135" t="s">
        <v>190</v>
      </c>
      <c r="U29" s="92" t="str">
        <f>HLOOKUP(T29,'Negative Case'!$D$1:$P$34,34,FALSE)</f>
        <v>Pass</v>
      </c>
      <c r="V29" s="92"/>
    </row>
    <row r="30" spans="11:22">
      <c r="S30" s="135" t="s">
        <v>142</v>
      </c>
      <c r="T30" s="135" t="s">
        <v>191</v>
      </c>
      <c r="U30" s="92" t="str">
        <f>HLOOKUP(T30,'Negative Case'!$D$1:$P$34,34,FALSE)</f>
        <v>Pass</v>
      </c>
      <c r="V30" s="92"/>
    </row>
    <row r="31" spans="11:22">
      <c r="S31" s="135" t="s">
        <v>142</v>
      </c>
      <c r="T31" s="135" t="s">
        <v>67</v>
      </c>
      <c r="U31" s="92" t="str">
        <f>HLOOKUP(T31,'Negative Case'!$D$1:$P$34,34,FALSE)</f>
        <v>Fail</v>
      </c>
      <c r="V31" s="92"/>
    </row>
    <row r="32" spans="11:22">
      <c r="S32" s="135" t="s">
        <v>142</v>
      </c>
      <c r="T32" s="135" t="s">
        <v>68</v>
      </c>
      <c r="U32" s="92" t="str">
        <f>HLOOKUP(T32,'Negative Case'!$D$1:$P$34,34,FALSE)</f>
        <v>Pass</v>
      </c>
      <c r="V32" s="92"/>
    </row>
    <row r="33" spans="19:22">
      <c r="S33" s="135" t="s">
        <v>142</v>
      </c>
      <c r="T33" s="135" t="s">
        <v>69</v>
      </c>
      <c r="U33" s="92" t="str">
        <f>HLOOKUP(T33,'Negative Case'!$D$1:$P$34,34,FALSE)</f>
        <v>Pass</v>
      </c>
      <c r="V33" s="92"/>
    </row>
    <row r="34" spans="19:22">
      <c r="S34" s="135" t="s">
        <v>143</v>
      </c>
      <c r="T34" s="135" t="s">
        <v>90</v>
      </c>
      <c r="U34" s="92" t="str">
        <f>HLOOKUP(T34,'Edge Case'!$D$1:$L$24,24,FALSE)</f>
        <v>Pass</v>
      </c>
      <c r="V34" s="92"/>
    </row>
    <row r="35" spans="19:22">
      <c r="S35" s="135" t="s">
        <v>143</v>
      </c>
      <c r="T35" s="135" t="s">
        <v>91</v>
      </c>
      <c r="U35" s="92" t="str">
        <f>HLOOKUP(T35,'Edge Case'!$D$1:$L$24,24,FALSE)</f>
        <v>Pass</v>
      </c>
      <c r="V35" s="92"/>
    </row>
    <row r="36" spans="19:22">
      <c r="S36" s="135" t="s">
        <v>143</v>
      </c>
      <c r="T36" s="135" t="s">
        <v>92</v>
      </c>
      <c r="U36" s="92" t="str">
        <f>HLOOKUP(T36,'Edge Case'!$D$1:$L$24,24,FALSE)</f>
        <v>Fail</v>
      </c>
      <c r="V36" s="91"/>
    </row>
    <row r="37" spans="19:22">
      <c r="S37" s="135" t="s">
        <v>143</v>
      </c>
      <c r="T37" s="135" t="s">
        <v>93</v>
      </c>
      <c r="U37" s="92" t="str">
        <f>HLOOKUP(T37,'Edge Case'!$D$1:$L$24,24,FALSE)</f>
        <v>Pass</v>
      </c>
      <c r="V37" s="92"/>
    </row>
    <row r="38" spans="19:22">
      <c r="S38" s="135" t="s">
        <v>143</v>
      </c>
      <c r="T38" s="135" t="s">
        <v>94</v>
      </c>
      <c r="U38" s="92" t="str">
        <f>HLOOKUP(T38,'Edge Case'!$D$1:$L$24,24,FALSE)</f>
        <v>Pass</v>
      </c>
      <c r="V38" s="92"/>
    </row>
    <row r="39" spans="19:22">
      <c r="S39" s="135" t="s">
        <v>143</v>
      </c>
      <c r="T39" s="135" t="s">
        <v>95</v>
      </c>
      <c r="U39" s="92" t="str">
        <f>HLOOKUP(T39,'Edge Case'!$D$1:$L$24,24,FALSE)</f>
        <v>Fail</v>
      </c>
      <c r="V39" s="92"/>
    </row>
    <row r="40" spans="19:22">
      <c r="S40" s="135" t="s">
        <v>143</v>
      </c>
      <c r="T40" s="135" t="s">
        <v>96</v>
      </c>
      <c r="U40" s="92" t="str">
        <f>HLOOKUP(T40,'Edge Case'!$D$1:$L$24,24,FALSE)</f>
        <v>Pass</v>
      </c>
      <c r="V40" s="92"/>
    </row>
    <row r="41" spans="19:22">
      <c r="S41" s="135" t="s">
        <v>143</v>
      </c>
      <c r="T41" s="135" t="s">
        <v>97</v>
      </c>
      <c r="U41" s="92" t="str">
        <f>HLOOKUP(T41,'Edge Case'!$D$1:$L$24,24,FALSE)</f>
        <v>Pass</v>
      </c>
      <c r="V41" s="92"/>
    </row>
    <row r="42" spans="19:22">
      <c r="S42" s="135" t="s">
        <v>143</v>
      </c>
      <c r="T42" s="135" t="s">
        <v>98</v>
      </c>
      <c r="U42" s="92" t="str">
        <f>HLOOKUP(T42,'Edge Case'!$D$1:$L$24,24,FALSE)</f>
        <v>Fail</v>
      </c>
      <c r="V42" s="92"/>
    </row>
    <row r="43" spans="19:22">
      <c r="S43" s="135" t="s">
        <v>239</v>
      </c>
      <c r="T43" s="136" t="s">
        <v>166</v>
      </c>
      <c r="U43" s="92" t="str">
        <f>VLOOKUP(T43,'FieldRule Case'!$B$3:$I$31,8,FALSE)</f>
        <v>Pass</v>
      </c>
      <c r="V43" s="92"/>
    </row>
    <row r="44" spans="19:22">
      <c r="S44" s="135" t="s">
        <v>239</v>
      </c>
      <c r="T44" s="136" t="s">
        <v>167</v>
      </c>
      <c r="U44" s="92" t="str">
        <f>VLOOKUP(T44,'FieldRule Case'!$B$3:$I$31,8,FALSE)</f>
        <v>Pass</v>
      </c>
      <c r="V44" s="92"/>
    </row>
    <row r="45" spans="19:22">
      <c r="S45" s="135" t="s">
        <v>239</v>
      </c>
      <c r="T45" s="136" t="s">
        <v>168</v>
      </c>
      <c r="U45" s="92" t="str">
        <f>VLOOKUP(T45,'FieldRule Case'!$B$3:$I$31,8,FALSE)</f>
        <v>Pass</v>
      </c>
      <c r="V45" s="92"/>
    </row>
    <row r="46" spans="19:22">
      <c r="S46" s="135" t="s">
        <v>239</v>
      </c>
      <c r="T46" s="136" t="s">
        <v>221</v>
      </c>
      <c r="U46" s="92" t="str">
        <f>VLOOKUP(T46,'FieldRule Case'!$B$3:$I$31,8,FALSE)</f>
        <v>Fail</v>
      </c>
      <c r="V46" s="91"/>
    </row>
    <row r="47" spans="19:22">
      <c r="S47" s="135" t="s">
        <v>239</v>
      </c>
      <c r="T47" s="136" t="s">
        <v>222</v>
      </c>
      <c r="U47" s="92" t="str">
        <f>VLOOKUP(T47,'FieldRule Case'!$B$3:$I$31,8,FALSE)</f>
        <v>Pass</v>
      </c>
      <c r="V47" s="92"/>
    </row>
    <row r="48" spans="19:22">
      <c r="S48" s="135" t="s">
        <v>239</v>
      </c>
      <c r="T48" s="136" t="s">
        <v>169</v>
      </c>
      <c r="U48" s="92" t="str">
        <f>VLOOKUP(T48,'FieldRule Case'!$B$3:$I$31,8,FALSE)</f>
        <v>Pass</v>
      </c>
      <c r="V48" s="92"/>
    </row>
    <row r="49" spans="19:22">
      <c r="S49" s="135" t="s">
        <v>239</v>
      </c>
      <c r="T49" s="136" t="s">
        <v>170</v>
      </c>
      <c r="U49" s="92" t="str">
        <f>VLOOKUP(T49,'FieldRule Case'!$B$3:$I$31,8,FALSE)</f>
        <v>Pass</v>
      </c>
      <c r="V49" s="92"/>
    </row>
    <row r="50" spans="19:22">
      <c r="S50" s="135" t="s">
        <v>239</v>
      </c>
      <c r="T50" s="136" t="s">
        <v>223</v>
      </c>
      <c r="U50" s="92" t="str">
        <f>VLOOKUP(T50,'FieldRule Case'!$B$3:$I$31,8,FALSE)</f>
        <v>Fail</v>
      </c>
      <c r="V50" s="91"/>
    </row>
    <row r="51" spans="19:22">
      <c r="S51" s="135" t="s">
        <v>239</v>
      </c>
      <c r="T51" s="136" t="s">
        <v>224</v>
      </c>
      <c r="U51" s="92" t="str">
        <f>VLOOKUP(T51,'FieldRule Case'!$B$3:$I$31,8,FALSE)</f>
        <v>Pass</v>
      </c>
      <c r="V51" s="92"/>
    </row>
    <row r="52" spans="19:22">
      <c r="S52" s="135" t="s">
        <v>239</v>
      </c>
      <c r="T52" s="136" t="s">
        <v>225</v>
      </c>
      <c r="U52" s="92" t="str">
        <f>VLOOKUP(T52,'FieldRule Case'!$B$3:$I$31,8,FALSE)</f>
        <v>Fail</v>
      </c>
      <c r="V52" s="92"/>
    </row>
    <row r="53" spans="19:22">
      <c r="S53" s="135" t="s">
        <v>239</v>
      </c>
      <c r="T53" s="136" t="s">
        <v>171</v>
      </c>
      <c r="U53" s="92" t="str">
        <f>VLOOKUP(T53,'FieldRule Case'!$B$3:$I$31,8,FALSE)</f>
        <v>Pass</v>
      </c>
      <c r="V53" s="92"/>
    </row>
    <row r="54" spans="19:22">
      <c r="S54" s="135" t="s">
        <v>240</v>
      </c>
      <c r="T54" s="136" t="s">
        <v>172</v>
      </c>
      <c r="U54" s="92" t="str">
        <f>VLOOKUP(T54,'FieldRule Case'!$B$3:$I$31,8,FALSE)</f>
        <v>Pass</v>
      </c>
      <c r="V54" s="92"/>
    </row>
    <row r="55" spans="19:22">
      <c r="S55" s="135" t="s">
        <v>239</v>
      </c>
      <c r="T55" s="136" t="s">
        <v>173</v>
      </c>
      <c r="U55" s="92" t="str">
        <f>VLOOKUP(T55,'FieldRule Case'!$B$3:$I$31,8,FALSE)</f>
        <v>Pass</v>
      </c>
      <c r="V55" s="92"/>
    </row>
    <row r="56" spans="19:22">
      <c r="S56" s="135" t="s">
        <v>239</v>
      </c>
      <c r="T56" s="136" t="s">
        <v>174</v>
      </c>
      <c r="U56" s="92" t="str">
        <f>VLOOKUP(T56,'FieldRule Case'!$B$3:$I$31,8,FALSE)</f>
        <v>Pass</v>
      </c>
      <c r="V56" s="92"/>
    </row>
    <row r="57" spans="19:22">
      <c r="S57" s="135" t="s">
        <v>239</v>
      </c>
      <c r="T57" s="136" t="s">
        <v>175</v>
      </c>
      <c r="U57" s="92" t="str">
        <f>VLOOKUP(T57,'FieldRule Case'!$B$3:$I$31,8,FALSE)</f>
        <v>Fail</v>
      </c>
      <c r="V57" s="91"/>
    </row>
    <row r="58" spans="19:22">
      <c r="S58" s="135" t="s">
        <v>239</v>
      </c>
      <c r="T58" s="136" t="s">
        <v>176</v>
      </c>
      <c r="U58" s="92" t="str">
        <f>VLOOKUP(T58,'FieldRule Case'!$B$3:$I$31,8,FALSE)</f>
        <v>Pass</v>
      </c>
      <c r="V58" s="92"/>
    </row>
    <row r="59" spans="19:22">
      <c r="S59" s="135" t="s">
        <v>239</v>
      </c>
      <c r="T59" s="136" t="s">
        <v>177</v>
      </c>
      <c r="U59" s="92" t="str">
        <f>VLOOKUP(T59,'FieldRule Case'!$B$3:$I$31,8,FALSE)</f>
        <v>Pass</v>
      </c>
      <c r="V59" s="92"/>
    </row>
    <row r="60" spans="19:22">
      <c r="S60" s="135" t="s">
        <v>239</v>
      </c>
      <c r="T60" s="136" t="s">
        <v>178</v>
      </c>
      <c r="U60" s="92" t="str">
        <f>VLOOKUP(T60,'FieldRule Case'!$B$3:$I$31,8,FALSE)</f>
        <v>Pass</v>
      </c>
      <c r="V60" s="92"/>
    </row>
    <row r="61" spans="19:22">
      <c r="S61" s="135" t="s">
        <v>239</v>
      </c>
      <c r="T61" s="136" t="s">
        <v>179</v>
      </c>
      <c r="U61" s="92" t="str">
        <f>VLOOKUP(T61,'FieldRule Case'!$B$3:$I$31,8,FALSE)</f>
        <v>Pass</v>
      </c>
      <c r="V61" s="92"/>
    </row>
    <row r="62" spans="19:22">
      <c r="S62" s="135" t="s">
        <v>239</v>
      </c>
      <c r="T62" s="136" t="s">
        <v>180</v>
      </c>
      <c r="U62" s="92" t="str">
        <f>VLOOKUP(T62,'FieldRule Case'!$B$3:$I$31,8,FALSE)</f>
        <v>Pass</v>
      </c>
      <c r="V62" s="92"/>
    </row>
    <row r="63" spans="19:22">
      <c r="S63" s="135" t="s">
        <v>239</v>
      </c>
      <c r="T63" s="136" t="s">
        <v>181</v>
      </c>
      <c r="U63" s="92" t="str">
        <f>VLOOKUP(T63,'FieldRule Case'!$B$3:$I$31,8,FALSE)</f>
        <v>Pass</v>
      </c>
      <c r="V63" s="92"/>
    </row>
    <row r="64" spans="19:22">
      <c r="S64" s="135" t="s">
        <v>239</v>
      </c>
      <c r="T64" s="136" t="s">
        <v>182</v>
      </c>
      <c r="U64" s="92" t="str">
        <f>VLOOKUP(T64,'FieldRule Case'!$B$3:$I$31,8,FALSE)</f>
        <v>Pass</v>
      </c>
      <c r="V64" s="92"/>
    </row>
    <row r="65" spans="19:22">
      <c r="S65" s="135" t="s">
        <v>239</v>
      </c>
      <c r="T65" s="136" t="s">
        <v>183</v>
      </c>
      <c r="U65" s="92" t="str">
        <f>VLOOKUP(T65,'FieldRule Case'!$B$3:$I$31,8,FALSE)</f>
        <v>Pass</v>
      </c>
      <c r="V65" s="92"/>
    </row>
    <row r="66" spans="19:22">
      <c r="S66" s="135" t="s">
        <v>239</v>
      </c>
      <c r="T66" s="136" t="s">
        <v>184</v>
      </c>
      <c r="U66" s="92" t="str">
        <f>VLOOKUP(T66,'FieldRule Case'!$B$3:$I$31,8,FALSE)</f>
        <v>Pass</v>
      </c>
      <c r="V66" s="92"/>
    </row>
    <row r="67" spans="19:22">
      <c r="S67" s="135" t="s">
        <v>239</v>
      </c>
      <c r="T67" s="136" t="s">
        <v>185</v>
      </c>
      <c r="U67" s="92" t="str">
        <f>VLOOKUP(T67,'FieldRule Case'!$B$3:$I$31,8,FALSE)</f>
        <v>Fail</v>
      </c>
      <c r="V67" s="92"/>
    </row>
    <row r="68" spans="19:22">
      <c r="S68" s="135" t="s">
        <v>239</v>
      </c>
      <c r="T68" s="136" t="s">
        <v>186</v>
      </c>
      <c r="U68" s="92" t="str">
        <f>VLOOKUP(T68,'FieldRule Case'!$B$3:$I$31,8,FALSE)</f>
        <v>Pass</v>
      </c>
      <c r="V68" s="92"/>
    </row>
    <row r="69" spans="19:22">
      <c r="S69" s="135" t="s">
        <v>239</v>
      </c>
      <c r="T69" s="136" t="s">
        <v>187</v>
      </c>
      <c r="U69" s="92" t="str">
        <f>VLOOKUP(T69,'FieldRule Case'!$B$3:$I$31,8,FALSE)</f>
        <v>Pass</v>
      </c>
      <c r="V69" s="92"/>
    </row>
    <row r="70" spans="19:22">
      <c r="S70" s="135" t="s">
        <v>239</v>
      </c>
      <c r="T70" s="136" t="s">
        <v>188</v>
      </c>
      <c r="U70" s="92" t="str">
        <f>VLOOKUP(T70,'FieldRule Case'!$B$3:$I$31,8,FALSE)</f>
        <v>Pass</v>
      </c>
      <c r="V70" s="92"/>
    </row>
    <row r="71" spans="19:22">
      <c r="S71" s="135" t="s">
        <v>239</v>
      </c>
      <c r="T71" s="136" t="s">
        <v>189</v>
      </c>
      <c r="U71" s="92" t="str">
        <f>VLOOKUP(T71,'FieldRule Case'!$B$3:$I$31,8,FALSE)</f>
        <v>Pass</v>
      </c>
      <c r="V71" s="92"/>
    </row>
    <row r="72" spans="19:22">
      <c r="S72" s="135" t="s">
        <v>326</v>
      </c>
      <c r="T72" s="135" t="s">
        <v>327</v>
      </c>
      <c r="U72" s="92" t="str">
        <f>'E2E Case'!D3</f>
        <v>Pass</v>
      </c>
      <c r="V72" s="92"/>
    </row>
  </sheetData>
  <autoFilter ref="S2:V2" xr:uid="{43C3CD3D-F5F5-4E8E-96B0-CB9235DE1118}"/>
  <mergeCells count="8">
    <mergeCell ref="S1:V1"/>
    <mergeCell ref="K21:L21"/>
    <mergeCell ref="A14:A16"/>
    <mergeCell ref="A1:C1"/>
    <mergeCell ref="A2:A4"/>
    <mergeCell ref="A5:A7"/>
    <mergeCell ref="A8:A10"/>
    <mergeCell ref="A11:A13"/>
  </mergeCells>
  <phoneticPr fontId="2" type="noConversion"/>
  <conditionalFormatting sqref="S3:V72">
    <cfRule type="expression" dxfId="0" priority="1">
      <formula>$U3="Fail"</formula>
    </cfRule>
  </conditionalFormatting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 tint="0.79998168889431442"/>
  </sheetPr>
  <dimension ref="A1:V33"/>
  <sheetViews>
    <sheetView topLeftCell="A14" zoomScale="85" zoomScaleNormal="85" zoomScaleSheetLayoutView="75" workbookViewId="0">
      <selection sqref="A1:U33"/>
    </sheetView>
  </sheetViews>
  <sheetFormatPr defaultColWidth="9" defaultRowHeight="16.5"/>
  <cols>
    <col min="1" max="1" width="12.75" bestFit="1" customWidth="1"/>
    <col min="2" max="2" width="17.875" bestFit="1" customWidth="1"/>
    <col min="3" max="3" width="40.625" customWidth="1"/>
    <col min="4" max="12" width="5.625" style="1" customWidth="1"/>
    <col min="13" max="21" width="5.625" customWidth="1"/>
    <col min="22" max="22" width="13.125" bestFit="1" customWidth="1"/>
  </cols>
  <sheetData>
    <row r="1" spans="1:21" ht="87.75" thickBot="1">
      <c r="A1" s="166" t="s">
        <v>145</v>
      </c>
      <c r="B1" s="167"/>
      <c r="C1" s="168"/>
      <c r="D1" s="6" t="s">
        <v>17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39</v>
      </c>
      <c r="M1" s="6" t="s">
        <v>40</v>
      </c>
      <c r="N1" s="6" t="s">
        <v>41</v>
      </c>
      <c r="O1" s="6" t="s">
        <v>42</v>
      </c>
      <c r="P1" s="6" t="s">
        <v>43</v>
      </c>
      <c r="Q1" s="6" t="s">
        <v>44</v>
      </c>
      <c r="R1" s="6" t="s">
        <v>45</v>
      </c>
      <c r="S1" s="6" t="s">
        <v>46</v>
      </c>
      <c r="T1" s="6" t="s">
        <v>47</v>
      </c>
      <c r="U1" s="6" t="s">
        <v>70</v>
      </c>
    </row>
    <row r="2" spans="1:21">
      <c r="A2" s="181" t="s">
        <v>80</v>
      </c>
      <c r="B2" s="184" t="s">
        <v>3</v>
      </c>
      <c r="C2" s="8" t="s">
        <v>0</v>
      </c>
      <c r="D2" s="16" t="s">
        <v>102</v>
      </c>
      <c r="E2" s="16"/>
      <c r="F2" s="16"/>
      <c r="G2" s="16" t="s">
        <v>102</v>
      </c>
      <c r="H2" s="16" t="s">
        <v>102</v>
      </c>
      <c r="I2" s="16" t="s">
        <v>102</v>
      </c>
      <c r="J2" s="16" t="s">
        <v>102</v>
      </c>
      <c r="K2" s="16" t="s">
        <v>102</v>
      </c>
      <c r="L2" s="16"/>
      <c r="M2" s="16"/>
      <c r="N2" s="16"/>
      <c r="O2" s="16"/>
      <c r="P2" s="16"/>
      <c r="Q2" s="16"/>
      <c r="R2" s="16" t="s">
        <v>102</v>
      </c>
      <c r="S2" s="16"/>
      <c r="T2" s="16"/>
      <c r="U2" s="16" t="s">
        <v>102</v>
      </c>
    </row>
    <row r="3" spans="1:21">
      <c r="A3" s="182"/>
      <c r="B3" s="185"/>
      <c r="C3" s="5" t="s">
        <v>1</v>
      </c>
      <c r="D3" s="17"/>
      <c r="E3" s="17" t="s">
        <v>102</v>
      </c>
      <c r="F3" s="17"/>
      <c r="G3" s="17"/>
      <c r="H3" s="17"/>
      <c r="I3" s="17"/>
      <c r="J3" s="17"/>
      <c r="K3" s="17"/>
      <c r="L3" s="17" t="s">
        <v>102</v>
      </c>
      <c r="M3" s="17" t="s">
        <v>102</v>
      </c>
      <c r="N3" s="17" t="s">
        <v>102</v>
      </c>
      <c r="O3" s="17" t="s">
        <v>102</v>
      </c>
      <c r="P3" s="17" t="s">
        <v>102</v>
      </c>
      <c r="Q3" s="17"/>
      <c r="R3" s="17"/>
      <c r="S3" s="17" t="s">
        <v>102</v>
      </c>
      <c r="T3" s="17"/>
      <c r="U3" s="17"/>
    </row>
    <row r="4" spans="1:21" ht="17.25" thickBot="1">
      <c r="A4" s="183"/>
      <c r="B4" s="186"/>
      <c r="C4" s="9" t="s">
        <v>2</v>
      </c>
      <c r="D4" s="18"/>
      <c r="E4" s="18"/>
      <c r="F4" s="18" t="s">
        <v>102</v>
      </c>
      <c r="G4" s="18"/>
      <c r="H4" s="18"/>
      <c r="I4" s="18"/>
      <c r="J4" s="18"/>
      <c r="K4" s="18"/>
      <c r="L4" s="18"/>
      <c r="M4" s="18"/>
      <c r="N4" s="18"/>
      <c r="O4" s="18"/>
      <c r="P4" s="18"/>
      <c r="Q4" s="18" t="s">
        <v>102</v>
      </c>
      <c r="R4" s="18"/>
      <c r="S4" s="18"/>
      <c r="T4" s="18" t="s">
        <v>102</v>
      </c>
      <c r="U4" s="18"/>
    </row>
    <row r="5" spans="1:21">
      <c r="A5" s="178" t="s">
        <v>31</v>
      </c>
      <c r="B5" s="48" t="s">
        <v>14</v>
      </c>
      <c r="C5" s="7" t="s">
        <v>10</v>
      </c>
      <c r="D5" s="19" t="s">
        <v>102</v>
      </c>
      <c r="E5" s="19" t="s">
        <v>102</v>
      </c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 t="s">
        <v>102</v>
      </c>
      <c r="U5" s="19"/>
    </row>
    <row r="6" spans="1:21">
      <c r="A6" s="179"/>
      <c r="B6" s="172" t="s">
        <v>9</v>
      </c>
      <c r="C6" s="3" t="s">
        <v>10</v>
      </c>
      <c r="D6" s="17"/>
      <c r="E6" s="17"/>
      <c r="F6" s="17" t="s">
        <v>102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</row>
    <row r="7" spans="1:21">
      <c r="A7" s="179"/>
      <c r="B7" s="172"/>
      <c r="C7" s="3" t="s">
        <v>11</v>
      </c>
      <c r="D7" s="17"/>
      <c r="E7" s="17"/>
      <c r="F7" s="17"/>
      <c r="G7" s="17" t="s">
        <v>102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</row>
    <row r="8" spans="1:21">
      <c r="A8" s="179"/>
      <c r="B8" s="172" t="s">
        <v>5</v>
      </c>
      <c r="C8" s="3" t="s">
        <v>10</v>
      </c>
      <c r="D8" s="17"/>
      <c r="E8" s="17"/>
      <c r="F8" s="17"/>
      <c r="G8" s="17"/>
      <c r="H8" s="17" t="s">
        <v>102</v>
      </c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</row>
    <row r="9" spans="1:21">
      <c r="A9" s="179"/>
      <c r="B9" s="172"/>
      <c r="C9" s="3" t="s">
        <v>11</v>
      </c>
      <c r="D9" s="17"/>
      <c r="E9" s="17"/>
      <c r="F9" s="17"/>
      <c r="G9" s="17"/>
      <c r="H9" s="17"/>
      <c r="I9" s="17" t="s">
        <v>102</v>
      </c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</row>
    <row r="10" spans="1:21">
      <c r="A10" s="179"/>
      <c r="B10" s="172" t="s">
        <v>8</v>
      </c>
      <c r="C10" s="3" t="s">
        <v>10</v>
      </c>
      <c r="D10" s="17"/>
      <c r="E10" s="17"/>
      <c r="F10" s="17"/>
      <c r="G10" s="17"/>
      <c r="H10" s="17"/>
      <c r="I10" s="17"/>
      <c r="J10" s="17" t="s">
        <v>102</v>
      </c>
      <c r="K10" s="17"/>
      <c r="L10" s="17"/>
      <c r="M10" s="17"/>
      <c r="N10" s="17"/>
      <c r="O10" s="17"/>
      <c r="P10" s="17"/>
      <c r="Q10" s="17"/>
      <c r="R10" s="17"/>
      <c r="S10" s="17" t="s">
        <v>102</v>
      </c>
      <c r="T10" s="17"/>
      <c r="U10" s="17"/>
    </row>
    <row r="11" spans="1:21">
      <c r="A11" s="179"/>
      <c r="B11" s="172"/>
      <c r="C11" s="3" t="s">
        <v>11</v>
      </c>
      <c r="D11" s="17"/>
      <c r="E11" s="17"/>
      <c r="F11" s="17"/>
      <c r="G11" s="17"/>
      <c r="H11" s="17"/>
      <c r="I11" s="17"/>
      <c r="J11" s="17"/>
      <c r="K11" s="17" t="s">
        <v>102</v>
      </c>
      <c r="L11" s="17"/>
      <c r="M11" s="17"/>
      <c r="N11" s="17"/>
      <c r="O11" s="17"/>
      <c r="P11" s="17"/>
      <c r="Q11" s="17"/>
      <c r="R11" s="17"/>
      <c r="S11" s="17"/>
      <c r="T11" s="17"/>
      <c r="U11" s="17"/>
    </row>
    <row r="12" spans="1:21">
      <c r="A12" s="179"/>
      <c r="B12" s="2" t="s">
        <v>12</v>
      </c>
      <c r="C12" s="3" t="s">
        <v>10</v>
      </c>
      <c r="D12" s="17"/>
      <c r="E12" s="17"/>
      <c r="F12" s="17"/>
      <c r="G12" s="17"/>
      <c r="H12" s="17"/>
      <c r="I12" s="17"/>
      <c r="J12" s="17"/>
      <c r="K12" s="17"/>
      <c r="L12" s="17" t="s">
        <v>102</v>
      </c>
      <c r="M12" s="17"/>
      <c r="N12" s="17"/>
      <c r="O12" s="17"/>
      <c r="P12" s="17"/>
      <c r="Q12" s="17"/>
      <c r="R12" s="17"/>
      <c r="S12" s="17"/>
      <c r="T12" s="17"/>
      <c r="U12" s="17"/>
    </row>
    <row r="13" spans="1:21">
      <c r="A13" s="179"/>
      <c r="B13" s="2" t="s">
        <v>13</v>
      </c>
      <c r="C13" s="3" t="s">
        <v>10</v>
      </c>
      <c r="D13" s="17"/>
      <c r="E13" s="17"/>
      <c r="F13" s="17"/>
      <c r="G13" s="17"/>
      <c r="H13" s="17"/>
      <c r="I13" s="17"/>
      <c r="J13" s="17"/>
      <c r="K13" s="17"/>
      <c r="L13" s="17"/>
      <c r="M13" s="17" t="s">
        <v>102</v>
      </c>
      <c r="N13" s="17"/>
      <c r="O13" s="17"/>
      <c r="P13" s="17"/>
      <c r="Q13" s="17"/>
      <c r="R13" s="17"/>
      <c r="S13" s="17"/>
      <c r="T13" s="17"/>
      <c r="U13" s="17"/>
    </row>
    <row r="14" spans="1:21">
      <c r="A14" s="179"/>
      <c r="B14" s="2" t="s">
        <v>4</v>
      </c>
      <c r="C14" s="3" t="s">
        <v>11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 t="s">
        <v>102</v>
      </c>
      <c r="O14" s="17"/>
      <c r="P14" s="17"/>
      <c r="Q14" s="17"/>
      <c r="R14" s="17"/>
      <c r="S14" s="17"/>
      <c r="T14" s="17"/>
      <c r="U14" s="17"/>
    </row>
    <row r="15" spans="1:21">
      <c r="A15" s="179"/>
      <c r="B15" s="2" t="s">
        <v>6</v>
      </c>
      <c r="C15" s="3" t="s">
        <v>11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 t="s">
        <v>102</v>
      </c>
      <c r="P15" s="17"/>
      <c r="Q15" s="17"/>
      <c r="R15" s="17"/>
      <c r="S15" s="17"/>
      <c r="T15" s="17"/>
      <c r="U15" s="17" t="s">
        <v>102</v>
      </c>
    </row>
    <row r="16" spans="1:21">
      <c r="A16" s="179"/>
      <c r="B16" s="2" t="s">
        <v>7</v>
      </c>
      <c r="C16" s="3" t="s">
        <v>11</v>
      </c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 t="s">
        <v>102</v>
      </c>
      <c r="Q16" s="17"/>
      <c r="R16" s="17"/>
      <c r="S16" s="17"/>
      <c r="T16" s="17"/>
      <c r="U16" s="17"/>
    </row>
    <row r="17" spans="1:22" ht="33.75" thickBot="1">
      <c r="A17" s="180"/>
      <c r="B17" s="10" t="s">
        <v>15</v>
      </c>
      <c r="C17" s="11" t="s">
        <v>16</v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 t="s">
        <v>102</v>
      </c>
      <c r="R17" s="20" t="s">
        <v>102</v>
      </c>
      <c r="S17" s="20"/>
      <c r="T17" s="20"/>
      <c r="U17" s="20"/>
    </row>
    <row r="18" spans="1:22">
      <c r="A18" s="175" t="s">
        <v>19</v>
      </c>
      <c r="B18" s="169" t="s">
        <v>49</v>
      </c>
      <c r="C18" s="169"/>
      <c r="D18" s="16" t="s">
        <v>102</v>
      </c>
      <c r="E18" s="16" t="s">
        <v>102</v>
      </c>
      <c r="F18" s="16" t="s">
        <v>102</v>
      </c>
      <c r="G18" s="16" t="s">
        <v>102</v>
      </c>
      <c r="H18" s="16" t="s">
        <v>102</v>
      </c>
      <c r="I18" s="16" t="s">
        <v>102</v>
      </c>
      <c r="J18" s="16" t="s">
        <v>102</v>
      </c>
      <c r="K18" s="16" t="s">
        <v>102</v>
      </c>
      <c r="L18" s="33" t="s">
        <v>56</v>
      </c>
      <c r="M18" s="33" t="s">
        <v>56</v>
      </c>
      <c r="N18" s="16" t="s">
        <v>102</v>
      </c>
      <c r="O18" s="16" t="s">
        <v>102</v>
      </c>
      <c r="P18" s="16" t="s">
        <v>102</v>
      </c>
      <c r="Q18" s="16" t="s">
        <v>102</v>
      </c>
      <c r="R18" s="16" t="s">
        <v>102</v>
      </c>
      <c r="S18" s="16" t="s">
        <v>102</v>
      </c>
      <c r="T18" s="16" t="s">
        <v>102</v>
      </c>
      <c r="U18" s="16" t="s">
        <v>102</v>
      </c>
    </row>
    <row r="19" spans="1:22" ht="32.25" customHeight="1">
      <c r="A19" s="176"/>
      <c r="B19" s="170" t="s">
        <v>50</v>
      </c>
      <c r="C19" s="170"/>
      <c r="D19" s="17" t="s">
        <v>102</v>
      </c>
      <c r="E19" s="17" t="s">
        <v>102</v>
      </c>
      <c r="F19" s="17" t="s">
        <v>102</v>
      </c>
      <c r="G19" s="17" t="s">
        <v>102</v>
      </c>
      <c r="H19" s="17" t="s">
        <v>102</v>
      </c>
      <c r="I19" s="17" t="s">
        <v>102</v>
      </c>
      <c r="J19" s="17" t="s">
        <v>102</v>
      </c>
      <c r="K19" s="17" t="s">
        <v>102</v>
      </c>
      <c r="L19" s="22"/>
      <c r="M19" s="22"/>
      <c r="N19" s="17" t="s">
        <v>102</v>
      </c>
      <c r="O19" s="17" t="s">
        <v>102</v>
      </c>
      <c r="P19" s="17" t="s">
        <v>102</v>
      </c>
      <c r="Q19" s="17" t="s">
        <v>102</v>
      </c>
      <c r="R19" s="17" t="s">
        <v>102</v>
      </c>
      <c r="S19" s="17" t="s">
        <v>102</v>
      </c>
      <c r="T19" s="17" t="s">
        <v>102</v>
      </c>
      <c r="U19" s="17" t="s">
        <v>102</v>
      </c>
    </row>
    <row r="20" spans="1:22" ht="17.25" thickBot="1">
      <c r="A20" s="177"/>
      <c r="B20" s="171" t="s">
        <v>48</v>
      </c>
      <c r="C20" s="171"/>
      <c r="D20" s="18" t="s">
        <v>102</v>
      </c>
      <c r="E20" s="18" t="s">
        <v>102</v>
      </c>
      <c r="F20" s="18" t="s">
        <v>102</v>
      </c>
      <c r="G20" s="18" t="s">
        <v>102</v>
      </c>
      <c r="H20" s="18" t="s">
        <v>102</v>
      </c>
      <c r="I20" s="18" t="s">
        <v>102</v>
      </c>
      <c r="J20" s="18" t="s">
        <v>102</v>
      </c>
      <c r="K20" s="18" t="s">
        <v>102</v>
      </c>
      <c r="L20" s="23"/>
      <c r="M20" s="23"/>
      <c r="N20" s="18" t="s">
        <v>102</v>
      </c>
      <c r="O20" s="18" t="s">
        <v>102</v>
      </c>
      <c r="P20" s="18" t="s">
        <v>102</v>
      </c>
      <c r="Q20" s="18" t="s">
        <v>102</v>
      </c>
      <c r="R20" s="18" t="s">
        <v>102</v>
      </c>
      <c r="S20" s="18" t="s">
        <v>102</v>
      </c>
      <c r="T20" s="18" t="s">
        <v>102</v>
      </c>
      <c r="U20" s="18" t="s">
        <v>102</v>
      </c>
    </row>
    <row r="21" spans="1:22">
      <c r="A21" s="189" t="s">
        <v>23</v>
      </c>
      <c r="B21" s="46" t="s">
        <v>22</v>
      </c>
      <c r="C21" s="12" t="s">
        <v>57</v>
      </c>
      <c r="D21" s="19" t="s">
        <v>102</v>
      </c>
      <c r="E21" s="19"/>
      <c r="F21" s="19" t="s">
        <v>102</v>
      </c>
      <c r="G21" s="19"/>
      <c r="H21" s="19" t="s">
        <v>102</v>
      </c>
      <c r="I21" s="19"/>
      <c r="J21" s="19" t="s">
        <v>102</v>
      </c>
      <c r="K21" s="19"/>
      <c r="L21" s="34"/>
      <c r="M21" s="34"/>
      <c r="N21" s="19" t="s">
        <v>102</v>
      </c>
      <c r="O21" s="19"/>
      <c r="P21" s="19"/>
      <c r="Q21" s="19"/>
      <c r="R21" s="19" t="s">
        <v>102</v>
      </c>
      <c r="S21" s="19" t="s">
        <v>102</v>
      </c>
      <c r="T21" s="19"/>
      <c r="U21" s="19"/>
    </row>
    <row r="22" spans="1:22" ht="17.25" thickBot="1">
      <c r="A22" s="190"/>
      <c r="B22" s="45" t="s">
        <v>21</v>
      </c>
      <c r="C22" s="13" t="s">
        <v>58</v>
      </c>
      <c r="D22" s="20"/>
      <c r="E22" s="20" t="s">
        <v>102</v>
      </c>
      <c r="F22" s="20"/>
      <c r="G22" s="20" t="s">
        <v>102</v>
      </c>
      <c r="H22" s="20"/>
      <c r="I22" s="20" t="s">
        <v>102</v>
      </c>
      <c r="J22" s="20"/>
      <c r="K22" s="20" t="s">
        <v>102</v>
      </c>
      <c r="L22" s="35"/>
      <c r="M22" s="35"/>
      <c r="N22" s="20"/>
      <c r="O22" s="20" t="s">
        <v>102</v>
      </c>
      <c r="P22" s="20" t="s">
        <v>102</v>
      </c>
      <c r="Q22" s="20" t="s">
        <v>102</v>
      </c>
      <c r="R22" s="20"/>
      <c r="S22" s="20"/>
      <c r="T22" s="20" t="s">
        <v>102</v>
      </c>
      <c r="U22" s="20" t="s">
        <v>102</v>
      </c>
    </row>
    <row r="23" spans="1:22" ht="17.25" thickTop="1">
      <c r="A23" s="195" t="s">
        <v>20</v>
      </c>
      <c r="B23" s="196" t="s">
        <v>24</v>
      </c>
      <c r="C23" s="196"/>
      <c r="D23" s="21" t="s">
        <v>102</v>
      </c>
      <c r="E23" s="21" t="s">
        <v>102</v>
      </c>
      <c r="F23" s="21" t="s">
        <v>102</v>
      </c>
      <c r="G23" s="21" t="s">
        <v>102</v>
      </c>
      <c r="H23" s="21" t="s">
        <v>102</v>
      </c>
      <c r="I23" s="21" t="s">
        <v>102</v>
      </c>
      <c r="J23" s="21" t="s">
        <v>102</v>
      </c>
      <c r="K23" s="21" t="s">
        <v>102</v>
      </c>
      <c r="L23" s="36"/>
      <c r="M23" s="36"/>
      <c r="N23" s="21" t="s">
        <v>102</v>
      </c>
      <c r="O23" s="21" t="s">
        <v>102</v>
      </c>
      <c r="P23" s="21" t="s">
        <v>102</v>
      </c>
      <c r="Q23" s="21" t="s">
        <v>102</v>
      </c>
      <c r="R23" s="21"/>
      <c r="S23" s="21"/>
      <c r="T23" s="21"/>
      <c r="U23" s="21"/>
    </row>
    <row r="24" spans="1:22">
      <c r="A24" s="179"/>
      <c r="B24" s="172" t="s">
        <v>25</v>
      </c>
      <c r="C24" s="172"/>
      <c r="D24" s="17"/>
      <c r="E24" s="17"/>
      <c r="F24" s="17"/>
      <c r="G24" s="17"/>
      <c r="H24" s="17"/>
      <c r="I24" s="17"/>
      <c r="J24" s="17"/>
      <c r="K24" s="17"/>
      <c r="L24" s="22"/>
      <c r="M24" s="22"/>
      <c r="N24" s="17"/>
      <c r="O24" s="17"/>
      <c r="P24" s="17"/>
      <c r="Q24" s="17"/>
      <c r="R24" s="17" t="s">
        <v>102</v>
      </c>
      <c r="S24" s="17"/>
      <c r="T24" s="17" t="s">
        <v>102</v>
      </c>
      <c r="U24" s="17"/>
    </row>
    <row r="25" spans="1:22" ht="17.25" thickBot="1">
      <c r="A25" s="180"/>
      <c r="B25" s="197" t="s">
        <v>26</v>
      </c>
      <c r="C25" s="197"/>
      <c r="D25" s="20"/>
      <c r="E25" s="20"/>
      <c r="F25" s="20"/>
      <c r="G25" s="20"/>
      <c r="H25" s="20"/>
      <c r="I25" s="20"/>
      <c r="J25" s="20"/>
      <c r="K25" s="20"/>
      <c r="L25" s="35"/>
      <c r="M25" s="35"/>
      <c r="N25" s="20"/>
      <c r="O25" s="20"/>
      <c r="P25" s="20"/>
      <c r="Q25" s="20"/>
      <c r="R25" s="20"/>
      <c r="S25" s="20" t="s">
        <v>102</v>
      </c>
      <c r="T25" s="20"/>
      <c r="U25" s="20" t="s">
        <v>102</v>
      </c>
    </row>
    <row r="26" spans="1:22">
      <c r="A26" s="175" t="s">
        <v>18</v>
      </c>
      <c r="B26" s="191" t="s">
        <v>27</v>
      </c>
      <c r="C26" s="191"/>
      <c r="D26" s="16" t="s">
        <v>102</v>
      </c>
      <c r="E26" s="16" t="s">
        <v>102</v>
      </c>
      <c r="F26" s="16" t="s">
        <v>102</v>
      </c>
      <c r="G26" s="16" t="s">
        <v>102</v>
      </c>
      <c r="H26" s="16" t="s">
        <v>102</v>
      </c>
      <c r="I26" s="16" t="s">
        <v>102</v>
      </c>
      <c r="J26" s="16" t="s">
        <v>102</v>
      </c>
      <c r="K26" s="16" t="s">
        <v>102</v>
      </c>
      <c r="L26" s="37"/>
      <c r="M26" s="37"/>
      <c r="N26" s="16" t="s">
        <v>102</v>
      </c>
      <c r="O26" s="16" t="s">
        <v>102</v>
      </c>
      <c r="P26" s="16" t="s">
        <v>102</v>
      </c>
      <c r="Q26" s="16" t="s">
        <v>102</v>
      </c>
      <c r="R26" s="25" t="s">
        <v>56</v>
      </c>
      <c r="S26" s="25" t="s">
        <v>55</v>
      </c>
      <c r="T26" s="25" t="s">
        <v>56</v>
      </c>
      <c r="U26" s="25" t="s">
        <v>55</v>
      </c>
    </row>
    <row r="27" spans="1:22">
      <c r="A27" s="194"/>
      <c r="B27" s="164" t="s">
        <v>54</v>
      </c>
      <c r="C27" s="165"/>
      <c r="D27" s="24" t="s">
        <v>56</v>
      </c>
      <c r="E27" s="24" t="s">
        <v>56</v>
      </c>
      <c r="F27" s="24" t="s">
        <v>56</v>
      </c>
      <c r="G27" s="24" t="s">
        <v>56</v>
      </c>
      <c r="H27" s="24" t="s">
        <v>56</v>
      </c>
      <c r="I27" s="24" t="s">
        <v>56</v>
      </c>
      <c r="J27" s="24" t="s">
        <v>56</v>
      </c>
      <c r="K27" s="24" t="s">
        <v>56</v>
      </c>
      <c r="L27" s="38"/>
      <c r="M27" s="38"/>
      <c r="N27" s="24" t="s">
        <v>56</v>
      </c>
      <c r="O27" s="24" t="s">
        <v>56</v>
      </c>
      <c r="P27" s="24" t="s">
        <v>56</v>
      </c>
      <c r="Q27" s="24" t="s">
        <v>56</v>
      </c>
      <c r="R27" s="17" t="s">
        <v>102</v>
      </c>
      <c r="S27" s="17" t="s">
        <v>102</v>
      </c>
      <c r="T27" s="17" t="s">
        <v>102</v>
      </c>
      <c r="U27" s="17" t="s">
        <v>102</v>
      </c>
      <c r="V27" s="26"/>
    </row>
    <row r="28" spans="1:22">
      <c r="A28" s="194"/>
      <c r="B28" s="164" t="s">
        <v>51</v>
      </c>
      <c r="C28" s="165"/>
      <c r="D28" s="17" t="s">
        <v>102</v>
      </c>
      <c r="E28" s="17" t="s">
        <v>102</v>
      </c>
      <c r="F28" s="17" t="s">
        <v>102</v>
      </c>
      <c r="G28" s="17" t="s">
        <v>102</v>
      </c>
      <c r="H28" s="17" t="s">
        <v>102</v>
      </c>
      <c r="I28" s="17" t="s">
        <v>102</v>
      </c>
      <c r="J28" s="17" t="s">
        <v>102</v>
      </c>
      <c r="K28" s="17" t="s">
        <v>102</v>
      </c>
      <c r="L28" s="22"/>
      <c r="M28" s="22"/>
      <c r="N28" s="17" t="s">
        <v>102</v>
      </c>
      <c r="O28" s="17" t="s">
        <v>102</v>
      </c>
      <c r="P28" s="17" t="s">
        <v>102</v>
      </c>
      <c r="Q28" s="17" t="s">
        <v>102</v>
      </c>
      <c r="R28" s="24" t="s">
        <v>56</v>
      </c>
      <c r="S28" s="24" t="s">
        <v>56</v>
      </c>
      <c r="T28" s="24" t="s">
        <v>56</v>
      </c>
      <c r="U28" s="24" t="s">
        <v>56</v>
      </c>
    </row>
    <row r="29" spans="1:22">
      <c r="A29" s="176"/>
      <c r="B29" s="187" t="s">
        <v>28</v>
      </c>
      <c r="C29" s="14" t="s">
        <v>52</v>
      </c>
      <c r="D29" s="17" t="s">
        <v>102</v>
      </c>
      <c r="E29" s="17" t="s">
        <v>102</v>
      </c>
      <c r="F29" s="17" t="s">
        <v>102</v>
      </c>
      <c r="G29" s="17" t="s">
        <v>102</v>
      </c>
      <c r="H29" s="17" t="s">
        <v>102</v>
      </c>
      <c r="I29" s="17" t="s">
        <v>102</v>
      </c>
      <c r="J29" s="17" t="s">
        <v>102</v>
      </c>
      <c r="K29" s="17" t="s">
        <v>102</v>
      </c>
      <c r="L29" s="22"/>
      <c r="M29" s="22"/>
      <c r="N29" s="17" t="s">
        <v>102</v>
      </c>
      <c r="O29" s="17" t="s">
        <v>102</v>
      </c>
      <c r="P29" s="17" t="s">
        <v>102</v>
      </c>
      <c r="Q29" s="17" t="s">
        <v>102</v>
      </c>
      <c r="R29" s="22"/>
      <c r="S29" s="22"/>
      <c r="T29" s="22"/>
      <c r="U29" s="22"/>
    </row>
    <row r="30" spans="1:22" ht="33">
      <c r="A30" s="176"/>
      <c r="B30" s="188"/>
      <c r="C30" s="15" t="s">
        <v>53</v>
      </c>
      <c r="D30" s="17" t="s">
        <v>102</v>
      </c>
      <c r="E30" s="17" t="s">
        <v>102</v>
      </c>
      <c r="F30" s="17" t="s">
        <v>102</v>
      </c>
      <c r="G30" s="17" t="s">
        <v>102</v>
      </c>
      <c r="H30" s="17" t="s">
        <v>102</v>
      </c>
      <c r="I30" s="17" t="s">
        <v>102</v>
      </c>
      <c r="J30" s="17" t="s">
        <v>102</v>
      </c>
      <c r="K30" s="17" t="s">
        <v>102</v>
      </c>
      <c r="L30" s="22"/>
      <c r="M30" s="22"/>
      <c r="N30" s="17" t="s">
        <v>102</v>
      </c>
      <c r="O30" s="17" t="s">
        <v>102</v>
      </c>
      <c r="P30" s="17" t="s">
        <v>102</v>
      </c>
      <c r="Q30" s="17" t="s">
        <v>102</v>
      </c>
      <c r="R30" s="22"/>
      <c r="S30" s="22"/>
      <c r="T30" s="22"/>
      <c r="U30" s="22"/>
    </row>
    <row r="31" spans="1:22">
      <c r="A31" s="176"/>
      <c r="B31" s="192" t="s">
        <v>29</v>
      </c>
      <c r="C31" s="19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17" t="s">
        <v>102</v>
      </c>
      <c r="S31" s="17"/>
      <c r="T31" s="17" t="s">
        <v>102</v>
      </c>
      <c r="U31" s="17"/>
    </row>
    <row r="32" spans="1:22" ht="17.25" thickBot="1">
      <c r="A32" s="177"/>
      <c r="B32" s="193" t="s">
        <v>30</v>
      </c>
      <c r="C32" s="19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18"/>
      <c r="S32" s="18" t="s">
        <v>102</v>
      </c>
      <c r="T32" s="18"/>
      <c r="U32" s="18" t="s">
        <v>102</v>
      </c>
    </row>
    <row r="33" spans="1:21" ht="33" customHeight="1" thickBot="1">
      <c r="A33" s="173" t="s">
        <v>138</v>
      </c>
      <c r="B33" s="174"/>
      <c r="C33" s="174"/>
      <c r="D33" s="102" t="s">
        <v>136</v>
      </c>
      <c r="E33" s="102" t="s">
        <v>136</v>
      </c>
      <c r="F33" s="102" t="s">
        <v>136</v>
      </c>
      <c r="G33" s="102" t="s">
        <v>136</v>
      </c>
      <c r="H33" s="102" t="s">
        <v>136</v>
      </c>
      <c r="I33" s="102" t="s">
        <v>136</v>
      </c>
      <c r="J33" s="102" t="s">
        <v>137</v>
      </c>
      <c r="K33" s="102" t="s">
        <v>136</v>
      </c>
      <c r="L33" s="102" t="s">
        <v>136</v>
      </c>
      <c r="M33" s="102" t="s">
        <v>136</v>
      </c>
      <c r="N33" s="102" t="s">
        <v>137</v>
      </c>
      <c r="O33" s="102" t="s">
        <v>136</v>
      </c>
      <c r="P33" s="102" t="s">
        <v>136</v>
      </c>
      <c r="Q33" s="102" t="s">
        <v>136</v>
      </c>
      <c r="R33" s="102" t="s">
        <v>137</v>
      </c>
      <c r="S33" s="102" t="s">
        <v>136</v>
      </c>
      <c r="T33" s="102" t="s">
        <v>136</v>
      </c>
      <c r="U33" s="103" t="s">
        <v>136</v>
      </c>
    </row>
  </sheetData>
  <mergeCells count="24">
    <mergeCell ref="A33:C33"/>
    <mergeCell ref="A18:A20"/>
    <mergeCell ref="A5:A17"/>
    <mergeCell ref="A2:A4"/>
    <mergeCell ref="B2:B4"/>
    <mergeCell ref="B29:B30"/>
    <mergeCell ref="A21:A22"/>
    <mergeCell ref="B26:C26"/>
    <mergeCell ref="B31:C31"/>
    <mergeCell ref="B32:C32"/>
    <mergeCell ref="A26:A32"/>
    <mergeCell ref="A23:A25"/>
    <mergeCell ref="B23:C23"/>
    <mergeCell ref="B24:C24"/>
    <mergeCell ref="B25:C25"/>
    <mergeCell ref="B27:C27"/>
    <mergeCell ref="B28:C28"/>
    <mergeCell ref="A1:C1"/>
    <mergeCell ref="B18:C18"/>
    <mergeCell ref="B19:C19"/>
    <mergeCell ref="B20:C20"/>
    <mergeCell ref="B6:B7"/>
    <mergeCell ref="B8:B9"/>
    <mergeCell ref="B10:B11"/>
  </mergeCells>
  <phoneticPr fontId="2" type="noConversion"/>
  <conditionalFormatting sqref="A33:XFD33">
    <cfRule type="cellIs" dxfId="13" priority="1" operator="equal">
      <formula>"Fail"</formula>
    </cfRule>
    <cfRule type="cellIs" dxfId="12" priority="2" operator="equal">
      <formula>"Pass"</formula>
    </cfRule>
  </conditionalFormatting>
  <conditionalFormatting sqref="D2:U32">
    <cfRule type="cellIs" dxfId="11" priority="3" operator="equal">
      <formula>"T"</formula>
    </cfRule>
  </conditionalFormatting>
  <dataValidations count="1">
    <dataValidation type="list" allowBlank="1" showInputMessage="1" showErrorMessage="1" sqref="D33:U33" xr:uid="{599A8F49-0351-4986-A09F-696BC8020A0C}">
      <formula1>"Pass,Fail"</formula1>
    </dataValidation>
  </dataValidations>
  <pageMargins left="0.74805557727813721" right="0.74805557727813721" top="0.98430556058883667" bottom="0.98430556058883667" header="0.51180553436279297" footer="0.51180553436279297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DB72-E567-4C2F-8E8C-2A35888D3655}">
  <sheetPr>
    <tabColor theme="5" tint="0.79998168889431442"/>
  </sheetPr>
  <dimension ref="A1:Q34"/>
  <sheetViews>
    <sheetView zoomScale="85" zoomScaleNormal="85" workbookViewId="0">
      <selection activeCell="D1" sqref="D1"/>
    </sheetView>
  </sheetViews>
  <sheetFormatPr defaultRowHeight="16.5"/>
  <cols>
    <col min="1" max="1" width="12.75" bestFit="1" customWidth="1"/>
    <col min="2" max="2" width="17.875" bestFit="1" customWidth="1"/>
    <col min="3" max="3" width="55.625" bestFit="1" customWidth="1"/>
    <col min="4" max="16" width="5.625" customWidth="1"/>
  </cols>
  <sheetData>
    <row r="1" spans="1:16" ht="87" thickBot="1">
      <c r="A1" s="207" t="s">
        <v>146</v>
      </c>
      <c r="B1" s="208"/>
      <c r="C1" s="209"/>
      <c r="D1" s="111" t="s">
        <v>59</v>
      </c>
      <c r="E1" s="111" t="s">
        <v>60</v>
      </c>
      <c r="F1" s="111" t="s">
        <v>61</v>
      </c>
      <c r="G1" s="111" t="s">
        <v>62</v>
      </c>
      <c r="H1" s="111" t="s">
        <v>63</v>
      </c>
      <c r="I1" s="111" t="s">
        <v>64</v>
      </c>
      <c r="J1" s="111" t="s">
        <v>65</v>
      </c>
      <c r="K1" s="111" t="s">
        <v>66</v>
      </c>
      <c r="L1" s="111" t="s">
        <v>190</v>
      </c>
      <c r="M1" s="111" t="s">
        <v>191</v>
      </c>
      <c r="N1" s="111" t="s">
        <v>67</v>
      </c>
      <c r="O1" s="111" t="s">
        <v>68</v>
      </c>
      <c r="P1" s="111" t="s">
        <v>69</v>
      </c>
    </row>
    <row r="2" spans="1:16" ht="18">
      <c r="A2" s="210" t="s">
        <v>80</v>
      </c>
      <c r="B2" s="184" t="s">
        <v>3</v>
      </c>
      <c r="C2" s="8" t="s">
        <v>0</v>
      </c>
      <c r="D2" s="72" t="s">
        <v>102</v>
      </c>
      <c r="E2" s="32"/>
      <c r="F2" s="32"/>
      <c r="G2" s="32"/>
      <c r="H2" s="32"/>
      <c r="I2" s="16" t="s">
        <v>102</v>
      </c>
      <c r="J2" s="32"/>
      <c r="K2" s="32"/>
      <c r="L2" s="32"/>
      <c r="M2" s="16" t="s">
        <v>102</v>
      </c>
      <c r="N2" s="16" t="s">
        <v>102</v>
      </c>
      <c r="O2" s="32"/>
      <c r="P2" s="55"/>
    </row>
    <row r="3" spans="1:16" ht="18">
      <c r="A3" s="211"/>
      <c r="B3" s="185"/>
      <c r="C3" s="5" t="s">
        <v>1</v>
      </c>
      <c r="D3" s="39"/>
      <c r="E3" s="81" t="s">
        <v>102</v>
      </c>
      <c r="F3" s="39"/>
      <c r="G3" s="17" t="s">
        <v>102</v>
      </c>
      <c r="H3" s="81" t="s">
        <v>102</v>
      </c>
      <c r="I3" s="39"/>
      <c r="J3" s="17" t="s">
        <v>102</v>
      </c>
      <c r="K3" s="17" t="s">
        <v>102</v>
      </c>
      <c r="L3" s="17" t="s">
        <v>102</v>
      </c>
      <c r="M3" s="39"/>
      <c r="N3" s="39"/>
      <c r="O3" s="39"/>
      <c r="P3" s="82" t="s">
        <v>102</v>
      </c>
    </row>
    <row r="4" spans="1:16" ht="17.25" thickBot="1">
      <c r="A4" s="212"/>
      <c r="B4" s="186"/>
      <c r="C4" s="9" t="s">
        <v>2</v>
      </c>
      <c r="D4" s="40"/>
      <c r="E4" s="40"/>
      <c r="F4" s="18" t="s">
        <v>102</v>
      </c>
      <c r="G4" s="40"/>
      <c r="H4" s="40"/>
      <c r="I4" s="40"/>
      <c r="J4" s="40"/>
      <c r="K4" s="40"/>
      <c r="L4" s="40"/>
      <c r="M4" s="40"/>
      <c r="N4" s="40"/>
      <c r="O4" s="18" t="s">
        <v>102</v>
      </c>
      <c r="P4" s="56"/>
    </row>
    <row r="5" spans="1:16" ht="16.5" customHeight="1">
      <c r="A5" s="213" t="s">
        <v>31</v>
      </c>
      <c r="B5" s="48" t="s">
        <v>14</v>
      </c>
      <c r="C5" s="7" t="s">
        <v>10</v>
      </c>
      <c r="D5" s="41" t="s">
        <v>102</v>
      </c>
      <c r="E5" s="41" t="s">
        <v>102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57"/>
    </row>
    <row r="6" spans="1:16">
      <c r="A6" s="214"/>
      <c r="B6" s="172" t="s">
        <v>9</v>
      </c>
      <c r="C6" s="3" t="s">
        <v>10</v>
      </c>
      <c r="D6" s="39"/>
      <c r="E6" s="39"/>
      <c r="F6" s="39" t="s">
        <v>102</v>
      </c>
      <c r="G6" s="39"/>
      <c r="H6" s="39"/>
      <c r="I6" s="39"/>
      <c r="J6" s="39"/>
      <c r="K6" s="39"/>
      <c r="L6" s="39"/>
      <c r="M6" s="39"/>
      <c r="N6" s="39"/>
      <c r="O6" s="39"/>
      <c r="P6" s="52"/>
    </row>
    <row r="7" spans="1:16">
      <c r="A7" s="214"/>
      <c r="B7" s="172"/>
      <c r="C7" s="3" t="s">
        <v>11</v>
      </c>
      <c r="D7" s="39"/>
      <c r="E7" s="39"/>
      <c r="F7" s="39"/>
      <c r="G7" s="39" t="s">
        <v>102</v>
      </c>
      <c r="H7" s="39"/>
      <c r="I7" s="39"/>
      <c r="J7" s="39"/>
      <c r="K7" s="39"/>
      <c r="L7" s="39"/>
      <c r="M7" s="39"/>
      <c r="N7" s="39"/>
      <c r="O7" s="39"/>
      <c r="P7" s="52"/>
    </row>
    <row r="8" spans="1:16">
      <c r="A8" s="214"/>
      <c r="B8" s="172" t="s">
        <v>5</v>
      </c>
      <c r="C8" s="3" t="s">
        <v>10</v>
      </c>
      <c r="D8" s="39"/>
      <c r="E8" s="39"/>
      <c r="F8" s="39"/>
      <c r="G8" s="39"/>
      <c r="H8" s="39" t="s">
        <v>102</v>
      </c>
      <c r="I8" s="39"/>
      <c r="J8" s="39"/>
      <c r="K8" s="39"/>
      <c r="L8" s="39"/>
      <c r="M8" s="39"/>
      <c r="N8" s="39"/>
      <c r="O8" s="39"/>
      <c r="P8" s="52"/>
    </row>
    <row r="9" spans="1:16">
      <c r="A9" s="214"/>
      <c r="B9" s="172"/>
      <c r="C9" s="3" t="s">
        <v>11</v>
      </c>
      <c r="D9" s="39"/>
      <c r="E9" s="39"/>
      <c r="F9" s="39"/>
      <c r="G9" s="39"/>
      <c r="H9" s="39"/>
      <c r="I9" s="39" t="s">
        <v>102</v>
      </c>
      <c r="J9" s="39"/>
      <c r="K9" s="39"/>
      <c r="L9" s="39"/>
      <c r="M9" s="39"/>
      <c r="N9" s="39"/>
      <c r="O9" s="39"/>
      <c r="P9" s="52"/>
    </row>
    <row r="10" spans="1:16">
      <c r="A10" s="214"/>
      <c r="B10" s="172" t="s">
        <v>8</v>
      </c>
      <c r="C10" s="3" t="s">
        <v>10</v>
      </c>
      <c r="D10" s="39"/>
      <c r="E10" s="39"/>
      <c r="F10" s="39"/>
      <c r="G10" s="39"/>
      <c r="H10" s="39"/>
      <c r="I10" s="39"/>
      <c r="J10" s="39" t="s">
        <v>102</v>
      </c>
      <c r="K10" s="39"/>
      <c r="L10" s="39"/>
      <c r="M10" s="39"/>
      <c r="N10" s="39"/>
      <c r="O10" s="39"/>
      <c r="P10" s="52"/>
    </row>
    <row r="11" spans="1:16">
      <c r="A11" s="214"/>
      <c r="B11" s="172"/>
      <c r="C11" s="3" t="s">
        <v>11</v>
      </c>
      <c r="D11" s="39"/>
      <c r="E11" s="39"/>
      <c r="F11" s="39"/>
      <c r="G11" s="39"/>
      <c r="H11" s="39"/>
      <c r="I11" s="39"/>
      <c r="J11" s="39"/>
      <c r="K11" s="39" t="s">
        <v>102</v>
      </c>
      <c r="L11" s="39"/>
      <c r="M11" s="39"/>
      <c r="N11" s="39"/>
      <c r="O11" s="39"/>
      <c r="P11" s="52"/>
    </row>
    <row r="12" spans="1:16">
      <c r="A12" s="214"/>
      <c r="B12" s="2" t="s">
        <v>4</v>
      </c>
      <c r="C12" s="3" t="s">
        <v>11</v>
      </c>
      <c r="D12" s="39"/>
      <c r="E12" s="39"/>
      <c r="F12" s="39"/>
      <c r="G12" s="39"/>
      <c r="H12" s="39"/>
      <c r="I12" s="39"/>
      <c r="J12" s="39"/>
      <c r="K12" s="39"/>
      <c r="L12" s="39" t="s">
        <v>102</v>
      </c>
      <c r="M12" s="39"/>
      <c r="N12" s="39"/>
      <c r="O12" s="39"/>
      <c r="P12" s="52"/>
    </row>
    <row r="13" spans="1:16">
      <c r="A13" s="214"/>
      <c r="B13" s="2" t="s">
        <v>6</v>
      </c>
      <c r="C13" s="3" t="s">
        <v>11</v>
      </c>
      <c r="D13" s="39"/>
      <c r="E13" s="39"/>
      <c r="F13" s="39"/>
      <c r="G13" s="39"/>
      <c r="H13" s="39"/>
      <c r="I13" s="39"/>
      <c r="J13" s="39"/>
      <c r="K13" s="39"/>
      <c r="L13" s="39"/>
      <c r="M13" s="39" t="s">
        <v>102</v>
      </c>
      <c r="N13" s="39"/>
      <c r="O13" s="39"/>
      <c r="P13" s="52"/>
    </row>
    <row r="14" spans="1:16">
      <c r="A14" s="214"/>
      <c r="B14" s="2" t="s">
        <v>7</v>
      </c>
      <c r="C14" s="3" t="s">
        <v>11</v>
      </c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 t="s">
        <v>102</v>
      </c>
      <c r="O14" s="39"/>
      <c r="P14" s="52"/>
    </row>
    <row r="15" spans="1:16" ht="33.75" thickBot="1">
      <c r="A15" s="215"/>
      <c r="B15" s="10" t="s">
        <v>15</v>
      </c>
      <c r="C15" s="11" t="s">
        <v>16</v>
      </c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 t="s">
        <v>102</v>
      </c>
      <c r="P15" s="58" t="s">
        <v>102</v>
      </c>
    </row>
    <row r="16" spans="1:16" ht="17.25" thickBot="1">
      <c r="A16" s="51" t="s">
        <v>19</v>
      </c>
      <c r="B16" s="205" t="s">
        <v>49</v>
      </c>
      <c r="C16" s="205"/>
      <c r="D16" s="64" t="s">
        <v>102</v>
      </c>
      <c r="E16" s="65" t="s">
        <v>102</v>
      </c>
      <c r="F16" s="65" t="s">
        <v>102</v>
      </c>
      <c r="G16" s="65" t="s">
        <v>102</v>
      </c>
      <c r="H16" s="65" t="s">
        <v>102</v>
      </c>
      <c r="I16" s="65" t="s">
        <v>102</v>
      </c>
      <c r="J16" s="65" t="s">
        <v>102</v>
      </c>
      <c r="K16" s="65" t="s">
        <v>102</v>
      </c>
      <c r="L16" s="65" t="s">
        <v>102</v>
      </c>
      <c r="M16" s="65" t="s">
        <v>102</v>
      </c>
      <c r="N16" s="65" t="s">
        <v>102</v>
      </c>
      <c r="O16" s="65" t="s">
        <v>102</v>
      </c>
      <c r="P16" s="66" t="s">
        <v>102</v>
      </c>
    </row>
    <row r="17" spans="1:16">
      <c r="A17" s="217" t="s">
        <v>23</v>
      </c>
      <c r="B17" s="223" t="s">
        <v>22</v>
      </c>
      <c r="C17" s="8" t="s">
        <v>71</v>
      </c>
      <c r="D17" s="16"/>
      <c r="E17" s="16" t="s">
        <v>102</v>
      </c>
      <c r="F17" s="16"/>
      <c r="G17" s="32"/>
      <c r="H17" s="32"/>
      <c r="I17" s="16" t="s">
        <v>102</v>
      </c>
      <c r="J17" s="32"/>
      <c r="K17" s="32"/>
      <c r="L17" s="32"/>
      <c r="M17" s="32"/>
      <c r="N17" s="32"/>
      <c r="O17" s="32"/>
      <c r="P17" s="55"/>
    </row>
    <row r="18" spans="1:16">
      <c r="A18" s="218"/>
      <c r="B18" s="221"/>
      <c r="C18" s="12" t="s">
        <v>75</v>
      </c>
      <c r="D18" s="41"/>
      <c r="E18" s="41"/>
      <c r="F18" s="19" t="s">
        <v>102</v>
      </c>
      <c r="G18" s="41"/>
      <c r="H18" s="41"/>
      <c r="I18" s="41"/>
      <c r="J18" s="19" t="s">
        <v>102</v>
      </c>
      <c r="K18" s="41"/>
      <c r="L18" s="41"/>
      <c r="M18" s="41"/>
      <c r="N18" s="41"/>
      <c r="O18" s="41"/>
      <c r="P18" s="57"/>
    </row>
    <row r="19" spans="1:16">
      <c r="A19" s="218"/>
      <c r="B19" s="221"/>
      <c r="C19" s="12" t="s">
        <v>73</v>
      </c>
      <c r="D19" s="41"/>
      <c r="E19" s="41"/>
      <c r="F19" s="41"/>
      <c r="G19" s="19" t="s">
        <v>102</v>
      </c>
      <c r="H19" s="41"/>
      <c r="I19" s="41"/>
      <c r="J19" s="19" t="s">
        <v>102</v>
      </c>
      <c r="K19" s="41"/>
      <c r="L19" s="41"/>
      <c r="M19" s="41"/>
      <c r="N19" s="41"/>
      <c r="O19" s="41"/>
      <c r="P19" s="57"/>
    </row>
    <row r="20" spans="1:16">
      <c r="A20" s="218"/>
      <c r="B20" s="224"/>
      <c r="C20" s="12" t="s">
        <v>74</v>
      </c>
      <c r="D20" s="41"/>
      <c r="E20" s="41"/>
      <c r="F20" s="41"/>
      <c r="G20" s="41"/>
      <c r="H20" s="19" t="s">
        <v>102</v>
      </c>
      <c r="I20" s="19" t="s">
        <v>102</v>
      </c>
      <c r="J20" s="41"/>
      <c r="K20" s="41"/>
      <c r="L20" s="41"/>
      <c r="M20" s="41"/>
      <c r="N20" s="41"/>
      <c r="O20" s="41"/>
      <c r="P20" s="57"/>
    </row>
    <row r="21" spans="1:16">
      <c r="A21" s="218"/>
      <c r="B21" s="220" t="s">
        <v>21</v>
      </c>
      <c r="C21" s="12" t="s">
        <v>71</v>
      </c>
      <c r="D21" s="42"/>
      <c r="E21" s="42"/>
      <c r="F21" s="42"/>
      <c r="G21" s="42"/>
      <c r="H21" s="42"/>
      <c r="I21" s="42"/>
      <c r="J21" s="42"/>
      <c r="K21" s="19" t="s">
        <v>102</v>
      </c>
      <c r="L21" s="19"/>
      <c r="M21" s="41"/>
      <c r="N21" s="41"/>
      <c r="O21" s="19" t="s">
        <v>102</v>
      </c>
      <c r="P21" s="57"/>
    </row>
    <row r="22" spans="1:16">
      <c r="A22" s="218"/>
      <c r="B22" s="221"/>
      <c r="C22" s="12" t="s">
        <v>72</v>
      </c>
      <c r="D22" s="42"/>
      <c r="E22" s="42"/>
      <c r="F22" s="42"/>
      <c r="G22" s="42"/>
      <c r="H22" s="42"/>
      <c r="I22" s="42"/>
      <c r="J22" s="42"/>
      <c r="K22" s="41"/>
      <c r="L22" s="19" t="s">
        <v>102</v>
      </c>
      <c r="M22" s="41"/>
      <c r="N22" s="41"/>
      <c r="O22" s="41"/>
      <c r="P22" s="59" t="s">
        <v>102</v>
      </c>
    </row>
    <row r="23" spans="1:16">
      <c r="A23" s="218"/>
      <c r="B23" s="221"/>
      <c r="C23" s="12" t="s">
        <v>73</v>
      </c>
      <c r="D23" s="42"/>
      <c r="E23" s="42"/>
      <c r="F23" s="42"/>
      <c r="G23" s="42"/>
      <c r="H23" s="42"/>
      <c r="I23" s="42"/>
      <c r="J23" s="42"/>
      <c r="K23" s="41"/>
      <c r="L23" s="41"/>
      <c r="M23" s="19" t="s">
        <v>102</v>
      </c>
      <c r="N23" s="41"/>
      <c r="O23" s="41"/>
      <c r="P23" s="59" t="s">
        <v>102</v>
      </c>
    </row>
    <row r="24" spans="1:16" ht="17.25" thickBot="1">
      <c r="A24" s="219"/>
      <c r="B24" s="222"/>
      <c r="C24" s="68" t="s">
        <v>74</v>
      </c>
      <c r="D24" s="40"/>
      <c r="E24" s="40"/>
      <c r="F24" s="40"/>
      <c r="G24" s="40"/>
      <c r="H24" s="40"/>
      <c r="I24" s="40"/>
      <c r="J24" s="40"/>
      <c r="K24" s="69"/>
      <c r="L24" s="69"/>
      <c r="M24" s="69"/>
      <c r="N24" s="70" t="s">
        <v>102</v>
      </c>
      <c r="O24" s="70" t="s">
        <v>102</v>
      </c>
      <c r="P24" s="71"/>
    </row>
    <row r="25" spans="1:16" ht="17.25" thickBot="1">
      <c r="A25" s="67" t="s">
        <v>20</v>
      </c>
      <c r="B25" s="206" t="s">
        <v>24</v>
      </c>
      <c r="C25" s="206"/>
      <c r="D25" s="19" t="s">
        <v>102</v>
      </c>
      <c r="E25" s="41" t="s">
        <v>102</v>
      </c>
      <c r="F25" s="41" t="s">
        <v>102</v>
      </c>
      <c r="G25" s="41" t="s">
        <v>102</v>
      </c>
      <c r="H25" s="41" t="s">
        <v>102</v>
      </c>
      <c r="I25" s="41" t="s">
        <v>102</v>
      </c>
      <c r="J25" s="41" t="s">
        <v>102</v>
      </c>
      <c r="K25" s="41" t="s">
        <v>102</v>
      </c>
      <c r="L25" s="41" t="s">
        <v>102</v>
      </c>
      <c r="M25" s="41" t="s">
        <v>102</v>
      </c>
      <c r="N25" s="41" t="s">
        <v>102</v>
      </c>
      <c r="O25" s="41" t="s">
        <v>102</v>
      </c>
      <c r="P25" s="57" t="s">
        <v>102</v>
      </c>
    </row>
    <row r="26" spans="1:16" ht="18">
      <c r="A26" s="202" t="s">
        <v>18</v>
      </c>
      <c r="B26" s="191" t="s">
        <v>76</v>
      </c>
      <c r="C26" s="191"/>
      <c r="D26" s="73" t="s">
        <v>102</v>
      </c>
      <c r="E26" s="73" t="s">
        <v>102</v>
      </c>
      <c r="F26" s="73" t="s">
        <v>102</v>
      </c>
      <c r="G26" s="73" t="s">
        <v>102</v>
      </c>
      <c r="H26" s="73" t="s">
        <v>102</v>
      </c>
      <c r="I26" s="73" t="s">
        <v>102</v>
      </c>
      <c r="J26" s="73" t="s">
        <v>102</v>
      </c>
      <c r="K26" s="73" t="s">
        <v>102</v>
      </c>
      <c r="L26" s="73" t="s">
        <v>102</v>
      </c>
      <c r="M26" s="73" t="s">
        <v>102</v>
      </c>
      <c r="N26" s="73" t="s">
        <v>102</v>
      </c>
      <c r="O26" s="73" t="s">
        <v>102</v>
      </c>
      <c r="P26" s="74" t="s">
        <v>102</v>
      </c>
    </row>
    <row r="27" spans="1:16" ht="66.75" thickBot="1">
      <c r="A27" s="225"/>
      <c r="B27" s="4" t="s">
        <v>77</v>
      </c>
      <c r="C27" s="47" t="s">
        <v>89</v>
      </c>
      <c r="D27" s="75" t="s">
        <v>102</v>
      </c>
      <c r="E27" s="75" t="s">
        <v>102</v>
      </c>
      <c r="F27" s="75" t="s">
        <v>102</v>
      </c>
      <c r="G27" s="75" t="s">
        <v>102</v>
      </c>
      <c r="H27" s="75" t="s">
        <v>102</v>
      </c>
      <c r="I27" s="75" t="s">
        <v>102</v>
      </c>
      <c r="J27" s="75" t="s">
        <v>102</v>
      </c>
      <c r="K27" s="75" t="s">
        <v>102</v>
      </c>
      <c r="L27" s="75" t="s">
        <v>102</v>
      </c>
      <c r="M27" s="75" t="s">
        <v>102</v>
      </c>
      <c r="N27" s="75" t="s">
        <v>102</v>
      </c>
      <c r="O27" s="75" t="s">
        <v>102</v>
      </c>
      <c r="P27" s="76" t="s">
        <v>102</v>
      </c>
    </row>
    <row r="28" spans="1:16" ht="18" thickTop="1" thickBot="1">
      <c r="A28" s="60" t="s">
        <v>78</v>
      </c>
      <c r="B28" s="200" t="s">
        <v>79</v>
      </c>
      <c r="C28" s="200"/>
      <c r="D28" s="49" t="s">
        <v>102</v>
      </c>
      <c r="E28" s="49" t="s">
        <v>102</v>
      </c>
      <c r="F28" s="49" t="s">
        <v>102</v>
      </c>
      <c r="G28" s="49" t="s">
        <v>102</v>
      </c>
      <c r="H28" s="49" t="s">
        <v>102</v>
      </c>
      <c r="I28" s="49" t="s">
        <v>102</v>
      </c>
      <c r="J28" s="49" t="s">
        <v>102</v>
      </c>
      <c r="K28" s="49" t="s">
        <v>102</v>
      </c>
      <c r="L28" s="49" t="s">
        <v>102</v>
      </c>
      <c r="M28" s="49" t="s">
        <v>102</v>
      </c>
      <c r="N28" s="49" t="s">
        <v>102</v>
      </c>
      <c r="O28" s="49" t="s">
        <v>102</v>
      </c>
      <c r="P28" s="61" t="s">
        <v>102</v>
      </c>
    </row>
    <row r="29" spans="1:16" ht="18">
      <c r="A29" s="202" t="s">
        <v>84</v>
      </c>
      <c r="B29" s="191" t="s">
        <v>81</v>
      </c>
      <c r="C29" s="191"/>
      <c r="D29" s="73" t="s">
        <v>102</v>
      </c>
      <c r="E29" s="73" t="s">
        <v>102</v>
      </c>
      <c r="F29" s="73" t="s">
        <v>102</v>
      </c>
      <c r="G29" s="73" t="s">
        <v>102</v>
      </c>
      <c r="H29" s="73" t="s">
        <v>102</v>
      </c>
      <c r="I29" s="73" t="s">
        <v>102</v>
      </c>
      <c r="J29" s="73" t="s">
        <v>102</v>
      </c>
      <c r="K29" s="73" t="s">
        <v>102</v>
      </c>
      <c r="L29" s="73" t="s">
        <v>102</v>
      </c>
      <c r="M29" s="73" t="s">
        <v>102</v>
      </c>
      <c r="N29" s="73" t="s">
        <v>102</v>
      </c>
      <c r="O29" s="73" t="s">
        <v>102</v>
      </c>
      <c r="P29" s="74" t="s">
        <v>102</v>
      </c>
    </row>
    <row r="30" spans="1:16" ht="32.25" customHeight="1">
      <c r="A30" s="203"/>
      <c r="B30" s="198" t="s">
        <v>83</v>
      </c>
      <c r="C30" s="15" t="s">
        <v>50</v>
      </c>
      <c r="D30" s="17" t="s">
        <v>102</v>
      </c>
      <c r="E30" s="17" t="s">
        <v>102</v>
      </c>
      <c r="F30" s="17" t="s">
        <v>102</v>
      </c>
      <c r="G30" s="17" t="s">
        <v>102</v>
      </c>
      <c r="H30" s="17" t="s">
        <v>102</v>
      </c>
      <c r="I30" s="39"/>
      <c r="J30" s="39"/>
      <c r="K30" s="17" t="s">
        <v>102</v>
      </c>
      <c r="L30" s="17" t="s">
        <v>102</v>
      </c>
      <c r="M30" s="17" t="s">
        <v>102</v>
      </c>
      <c r="N30" s="17" t="s">
        <v>102</v>
      </c>
      <c r="O30" s="39"/>
      <c r="P30" s="52"/>
    </row>
    <row r="31" spans="1:16" ht="32.25" customHeight="1" thickBot="1">
      <c r="A31" s="204"/>
      <c r="B31" s="199"/>
      <c r="C31" s="53" t="s">
        <v>82</v>
      </c>
      <c r="D31" s="40"/>
      <c r="E31" s="40"/>
      <c r="F31" s="40"/>
      <c r="G31" s="40"/>
      <c r="H31" s="40"/>
      <c r="I31" s="77" t="s">
        <v>102</v>
      </c>
      <c r="J31" s="77" t="s">
        <v>102</v>
      </c>
      <c r="K31" s="40"/>
      <c r="L31" s="40"/>
      <c r="M31" s="40"/>
      <c r="N31" s="40"/>
      <c r="O31" s="18" t="s">
        <v>102</v>
      </c>
      <c r="P31" s="78" t="s">
        <v>102</v>
      </c>
    </row>
    <row r="32" spans="1:16" ht="17.25" thickBot="1">
      <c r="A32" s="62" t="s">
        <v>85</v>
      </c>
      <c r="B32" s="201" t="s">
        <v>87</v>
      </c>
      <c r="C32" s="201"/>
      <c r="D32" s="79" t="s">
        <v>102</v>
      </c>
      <c r="E32" s="43" t="s">
        <v>102</v>
      </c>
      <c r="F32" s="44"/>
      <c r="G32" s="44"/>
      <c r="H32" s="44"/>
      <c r="I32" s="43" t="s">
        <v>102</v>
      </c>
      <c r="J32" s="43" t="s">
        <v>102</v>
      </c>
      <c r="K32" s="43" t="s">
        <v>102</v>
      </c>
      <c r="L32" s="44"/>
      <c r="M32" s="44"/>
      <c r="N32" s="44"/>
      <c r="O32" s="43" t="s">
        <v>102</v>
      </c>
      <c r="P32" s="63" t="s">
        <v>102</v>
      </c>
    </row>
    <row r="33" spans="1:17" ht="18.75" thickBot="1">
      <c r="A33" s="50" t="s">
        <v>86</v>
      </c>
      <c r="B33" s="216" t="s">
        <v>88</v>
      </c>
      <c r="C33" s="216"/>
      <c r="D33" s="80" t="s">
        <v>102</v>
      </c>
      <c r="E33" s="80" t="s">
        <v>102</v>
      </c>
      <c r="F33" s="84"/>
      <c r="G33" s="85"/>
      <c r="H33" s="85"/>
      <c r="I33" s="80" t="s">
        <v>102</v>
      </c>
      <c r="J33" s="80" t="s">
        <v>102</v>
      </c>
      <c r="K33" s="80" t="s">
        <v>102</v>
      </c>
      <c r="L33" s="84"/>
      <c r="M33" s="85"/>
      <c r="N33" s="85"/>
      <c r="O33" s="80" t="s">
        <v>102</v>
      </c>
      <c r="P33" s="83" t="s">
        <v>102</v>
      </c>
    </row>
    <row r="34" spans="1:17" ht="33" customHeight="1" thickBot="1">
      <c r="A34" s="173" t="s">
        <v>138</v>
      </c>
      <c r="B34" s="174"/>
      <c r="C34" s="174"/>
      <c r="D34" s="102" t="s">
        <v>137</v>
      </c>
      <c r="E34" s="102" t="s">
        <v>136</v>
      </c>
      <c r="F34" s="102" t="s">
        <v>136</v>
      </c>
      <c r="G34" s="102" t="s">
        <v>137</v>
      </c>
      <c r="H34" s="102" t="s">
        <v>136</v>
      </c>
      <c r="I34" s="102" t="s">
        <v>136</v>
      </c>
      <c r="J34" s="102" t="s">
        <v>136</v>
      </c>
      <c r="K34" s="102" t="s">
        <v>136</v>
      </c>
      <c r="L34" s="102" t="s">
        <v>136</v>
      </c>
      <c r="M34" s="102" t="s">
        <v>136</v>
      </c>
      <c r="N34" s="102" t="s">
        <v>137</v>
      </c>
      <c r="O34" s="102" t="s">
        <v>136</v>
      </c>
      <c r="P34" s="103" t="s">
        <v>136</v>
      </c>
      <c r="Q34" s="104"/>
    </row>
  </sheetData>
  <mergeCells count="21">
    <mergeCell ref="A34:C34"/>
    <mergeCell ref="B16:C16"/>
    <mergeCell ref="B25:C25"/>
    <mergeCell ref="B29:C29"/>
    <mergeCell ref="A1:C1"/>
    <mergeCell ref="A2:A4"/>
    <mergeCell ref="B2:B4"/>
    <mergeCell ref="A5:A15"/>
    <mergeCell ref="B6:B7"/>
    <mergeCell ref="B8:B9"/>
    <mergeCell ref="B10:B11"/>
    <mergeCell ref="B33:C33"/>
    <mergeCell ref="A17:A24"/>
    <mergeCell ref="B21:B24"/>
    <mergeCell ref="B17:B20"/>
    <mergeCell ref="A26:A27"/>
    <mergeCell ref="B30:B31"/>
    <mergeCell ref="B28:C28"/>
    <mergeCell ref="B32:C32"/>
    <mergeCell ref="A29:A31"/>
    <mergeCell ref="B26:C26"/>
  </mergeCells>
  <phoneticPr fontId="2" type="noConversion"/>
  <conditionalFormatting sqref="A34:XFD34">
    <cfRule type="cellIs" dxfId="10" priority="1" operator="equal">
      <formula>"Fail"</formula>
    </cfRule>
    <cfRule type="cellIs" dxfId="9" priority="2" operator="equal">
      <formula>"Pass"</formula>
    </cfRule>
  </conditionalFormatting>
  <conditionalFormatting sqref="D2:P33">
    <cfRule type="cellIs" dxfId="8" priority="3" operator="equal">
      <formula>"T"</formula>
    </cfRule>
  </conditionalFormatting>
  <dataValidations count="1">
    <dataValidation type="list" allowBlank="1" showInputMessage="1" showErrorMessage="1" sqref="D34:U34" xr:uid="{9D1C3ABA-E73F-47DD-9849-6A02B0F19266}">
      <formula1>"Pass,Fail"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40F8-71FD-418B-A3B6-CD0B6603AE2C}">
  <dimension ref="A1:M24"/>
  <sheetViews>
    <sheetView zoomScale="85" zoomScaleNormal="85" workbookViewId="0">
      <selection activeCell="D1" sqref="D1"/>
    </sheetView>
  </sheetViews>
  <sheetFormatPr defaultRowHeight="16.5"/>
  <cols>
    <col min="1" max="1" width="12.75" bestFit="1" customWidth="1"/>
    <col min="2" max="2" width="17.875" bestFit="1" customWidth="1"/>
    <col min="3" max="3" width="55.625" bestFit="1" customWidth="1"/>
    <col min="4" max="12" width="5.625" customWidth="1"/>
    <col min="13" max="13" width="5.375" customWidth="1"/>
  </cols>
  <sheetData>
    <row r="1" spans="1:13" ht="78" thickBot="1">
      <c r="A1" s="226" t="s">
        <v>233</v>
      </c>
      <c r="B1" s="227"/>
      <c r="C1" s="228"/>
      <c r="D1" s="54" t="s">
        <v>90</v>
      </c>
      <c r="E1" s="54" t="s">
        <v>91</v>
      </c>
      <c r="F1" s="54" t="s">
        <v>92</v>
      </c>
      <c r="G1" s="54" t="s">
        <v>93</v>
      </c>
      <c r="H1" s="54" t="s">
        <v>94</v>
      </c>
      <c r="I1" s="54" t="s">
        <v>95</v>
      </c>
      <c r="J1" s="54" t="s">
        <v>96</v>
      </c>
      <c r="K1" s="54" t="s">
        <v>97</v>
      </c>
      <c r="L1" s="54" t="s">
        <v>98</v>
      </c>
    </row>
    <row r="2" spans="1:13">
      <c r="A2" s="217" t="s">
        <v>80</v>
      </c>
      <c r="B2" s="184" t="s">
        <v>3</v>
      </c>
      <c r="C2" s="8" t="s">
        <v>0</v>
      </c>
      <c r="D2" s="115" t="s">
        <v>102</v>
      </c>
      <c r="E2" s="115" t="s">
        <v>102</v>
      </c>
      <c r="F2" s="115" t="s">
        <v>102</v>
      </c>
      <c r="G2" s="115"/>
      <c r="H2" s="115"/>
      <c r="I2" s="115"/>
      <c r="J2" s="115"/>
      <c r="K2" s="115"/>
      <c r="L2" s="115"/>
    </row>
    <row r="3" spans="1:13">
      <c r="A3" s="218"/>
      <c r="B3" s="185"/>
      <c r="C3" s="5" t="s">
        <v>1</v>
      </c>
      <c r="D3" s="116"/>
      <c r="E3" s="116"/>
      <c r="F3" s="116"/>
      <c r="G3" s="116" t="s">
        <v>230</v>
      </c>
      <c r="H3" s="116" t="s">
        <v>230</v>
      </c>
      <c r="I3" s="116" t="s">
        <v>230</v>
      </c>
      <c r="J3" s="116"/>
      <c r="K3" s="116"/>
      <c r="L3" s="116"/>
      <c r="M3" s="112"/>
    </row>
    <row r="4" spans="1:13" ht="17.25" thickBot="1">
      <c r="A4" s="218"/>
      <c r="B4" s="186"/>
      <c r="C4" s="9" t="s">
        <v>2</v>
      </c>
      <c r="D4" s="117"/>
      <c r="E4" s="117"/>
      <c r="F4" s="117"/>
      <c r="G4" s="117"/>
      <c r="H4" s="117"/>
      <c r="I4" s="117"/>
      <c r="J4" s="117" t="s">
        <v>230</v>
      </c>
      <c r="K4" s="117" t="s">
        <v>230</v>
      </c>
      <c r="L4" s="117" t="s">
        <v>230</v>
      </c>
    </row>
    <row r="5" spans="1:13">
      <c r="A5" s="218"/>
      <c r="B5" s="46" t="s">
        <v>14</v>
      </c>
      <c r="C5" s="12" t="s">
        <v>10</v>
      </c>
      <c r="D5" s="115" t="s">
        <v>102</v>
      </c>
      <c r="E5" s="118"/>
      <c r="F5" s="118"/>
      <c r="G5" s="115" t="s">
        <v>102</v>
      </c>
      <c r="H5" s="118"/>
      <c r="I5" s="118"/>
      <c r="J5" s="115" t="s">
        <v>102</v>
      </c>
      <c r="K5" s="118"/>
      <c r="L5" s="118"/>
    </row>
    <row r="6" spans="1:13">
      <c r="A6" s="218"/>
      <c r="B6" s="185" t="s">
        <v>9</v>
      </c>
      <c r="C6" s="5" t="s">
        <v>10</v>
      </c>
      <c r="D6" s="116"/>
      <c r="E6" s="116" t="s">
        <v>230</v>
      </c>
      <c r="F6" s="116"/>
      <c r="G6" s="116"/>
      <c r="H6" s="116"/>
      <c r="I6" s="116"/>
      <c r="J6" s="116"/>
      <c r="K6" s="116" t="s">
        <v>230</v>
      </c>
      <c r="L6" s="116"/>
    </row>
    <row r="7" spans="1:13">
      <c r="A7" s="218"/>
      <c r="B7" s="185"/>
      <c r="C7" s="5" t="s">
        <v>11</v>
      </c>
      <c r="D7" s="116"/>
      <c r="E7" s="116"/>
      <c r="F7" s="116"/>
      <c r="G7" s="116"/>
      <c r="H7" s="116"/>
      <c r="I7" s="116" t="s">
        <v>230</v>
      </c>
      <c r="J7" s="116"/>
      <c r="K7" s="116"/>
      <c r="L7" s="116" t="s">
        <v>230</v>
      </c>
    </row>
    <row r="8" spans="1:13" ht="33.75" thickBot="1">
      <c r="A8" s="219"/>
      <c r="B8" s="45" t="s">
        <v>15</v>
      </c>
      <c r="C8" s="86" t="s">
        <v>16</v>
      </c>
      <c r="D8" s="119"/>
      <c r="E8" s="119"/>
      <c r="F8" s="119" t="s">
        <v>230</v>
      </c>
      <c r="G8" s="119"/>
      <c r="H8" s="119"/>
      <c r="I8" s="119" t="s">
        <v>230</v>
      </c>
      <c r="J8" s="119"/>
      <c r="K8" s="119"/>
      <c r="L8" s="119"/>
    </row>
    <row r="9" spans="1:13">
      <c r="A9" s="230" t="s">
        <v>99</v>
      </c>
      <c r="B9" s="88" t="s">
        <v>101</v>
      </c>
      <c r="C9" s="87" t="s">
        <v>100</v>
      </c>
      <c r="D9" s="115" t="s">
        <v>102</v>
      </c>
      <c r="E9" s="115" t="s">
        <v>230</v>
      </c>
      <c r="F9" s="115" t="s">
        <v>230</v>
      </c>
      <c r="G9" s="115" t="s">
        <v>102</v>
      </c>
      <c r="H9" s="115" t="s">
        <v>230</v>
      </c>
      <c r="I9" s="115" t="s">
        <v>230</v>
      </c>
      <c r="J9" s="115" t="s">
        <v>102</v>
      </c>
      <c r="K9" s="115" t="s">
        <v>230</v>
      </c>
      <c r="L9" s="115" t="s">
        <v>230</v>
      </c>
    </row>
    <row r="10" spans="1:13">
      <c r="A10" s="231"/>
      <c r="B10" s="172" t="s">
        <v>216</v>
      </c>
      <c r="C10" s="172"/>
      <c r="D10" s="116" t="s">
        <v>230</v>
      </c>
      <c r="E10" s="116"/>
      <c r="F10" s="116"/>
      <c r="G10" s="116" t="s">
        <v>230</v>
      </c>
      <c r="H10" s="116"/>
      <c r="I10" s="116"/>
      <c r="J10" s="116" t="s">
        <v>230</v>
      </c>
      <c r="K10" s="116"/>
      <c r="L10" s="116"/>
    </row>
    <row r="11" spans="1:13">
      <c r="A11" s="231"/>
      <c r="B11" s="172" t="s">
        <v>213</v>
      </c>
      <c r="C11" s="172"/>
      <c r="D11" s="116"/>
      <c r="E11" s="116" t="s">
        <v>230</v>
      </c>
      <c r="F11" s="116"/>
      <c r="G11" s="116"/>
      <c r="H11" s="116" t="s">
        <v>230</v>
      </c>
      <c r="I11" s="116"/>
      <c r="J11" s="116"/>
      <c r="K11" s="116" t="s">
        <v>230</v>
      </c>
      <c r="L11" s="116"/>
    </row>
    <row r="12" spans="1:13">
      <c r="A12" s="231"/>
      <c r="B12" s="172" t="s">
        <v>215</v>
      </c>
      <c r="C12" s="172"/>
      <c r="D12" s="116"/>
      <c r="E12" s="116"/>
      <c r="F12" s="116" t="s">
        <v>230</v>
      </c>
      <c r="G12" s="116"/>
      <c r="H12" s="116"/>
      <c r="I12" s="116" t="s">
        <v>230</v>
      </c>
      <c r="J12" s="116"/>
      <c r="K12" s="116"/>
      <c r="L12" s="116" t="s">
        <v>230</v>
      </c>
    </row>
    <row r="13" spans="1:13" ht="17.25" thickBot="1">
      <c r="A13" s="232"/>
      <c r="B13" s="229" t="s">
        <v>214</v>
      </c>
      <c r="C13" s="229"/>
      <c r="D13" s="117" t="s">
        <v>230</v>
      </c>
      <c r="E13" s="117" t="s">
        <v>230</v>
      </c>
      <c r="F13" s="117" t="s">
        <v>230</v>
      </c>
      <c r="G13" s="117" t="s">
        <v>230</v>
      </c>
      <c r="H13" s="117" t="s">
        <v>230</v>
      </c>
      <c r="I13" s="117" t="s">
        <v>230</v>
      </c>
      <c r="J13" s="117" t="s">
        <v>230</v>
      </c>
      <c r="K13" s="117" t="s">
        <v>230</v>
      </c>
      <c r="L13" s="117" t="s">
        <v>230</v>
      </c>
    </row>
    <row r="14" spans="1:13" ht="32.25" customHeight="1">
      <c r="A14" s="203" t="s">
        <v>19</v>
      </c>
      <c r="B14" s="235" t="s">
        <v>231</v>
      </c>
      <c r="C14" s="192"/>
      <c r="D14" s="120" t="s">
        <v>56</v>
      </c>
      <c r="E14" s="121" t="s">
        <v>230</v>
      </c>
      <c r="F14" s="121" t="s">
        <v>230</v>
      </c>
      <c r="G14" s="120" t="s">
        <v>56</v>
      </c>
      <c r="H14" s="121" t="s">
        <v>230</v>
      </c>
      <c r="I14" s="121" t="s">
        <v>230</v>
      </c>
      <c r="J14" s="120" t="s">
        <v>56</v>
      </c>
      <c r="K14" s="121" t="s">
        <v>230</v>
      </c>
      <c r="L14" s="121" t="s">
        <v>230</v>
      </c>
    </row>
    <row r="15" spans="1:13" ht="66.75" thickBot="1">
      <c r="A15" s="204"/>
      <c r="B15" s="114" t="s">
        <v>77</v>
      </c>
      <c r="C15" s="113" t="s">
        <v>228</v>
      </c>
      <c r="D15" s="122" t="s">
        <v>230</v>
      </c>
      <c r="E15" s="123" t="s">
        <v>56</v>
      </c>
      <c r="F15" s="123" t="s">
        <v>56</v>
      </c>
      <c r="G15" s="122" t="s">
        <v>230</v>
      </c>
      <c r="H15" s="123" t="s">
        <v>56</v>
      </c>
      <c r="I15" s="123" t="s">
        <v>56</v>
      </c>
      <c r="J15" s="122" t="s">
        <v>230</v>
      </c>
      <c r="K15" s="123" t="s">
        <v>56</v>
      </c>
      <c r="L15" s="123" t="s">
        <v>56</v>
      </c>
    </row>
    <row r="16" spans="1:13" ht="18" thickTop="1" thickBot="1">
      <c r="A16" s="60" t="s">
        <v>20</v>
      </c>
      <c r="B16" s="200" t="s">
        <v>226</v>
      </c>
      <c r="C16" s="200"/>
      <c r="D16" s="124"/>
      <c r="E16" s="125" t="s">
        <v>230</v>
      </c>
      <c r="F16" s="125" t="s">
        <v>230</v>
      </c>
      <c r="G16" s="124"/>
      <c r="H16" s="125" t="s">
        <v>230</v>
      </c>
      <c r="I16" s="125" t="s">
        <v>230</v>
      </c>
      <c r="J16" s="124"/>
      <c r="K16" s="125" t="s">
        <v>230</v>
      </c>
      <c r="L16" s="125" t="s">
        <v>230</v>
      </c>
    </row>
    <row r="17" spans="1:13">
      <c r="A17" s="202" t="s">
        <v>18</v>
      </c>
      <c r="B17" s="191" t="s">
        <v>227</v>
      </c>
      <c r="C17" s="191"/>
      <c r="D17" s="126"/>
      <c r="E17" s="127" t="s">
        <v>230</v>
      </c>
      <c r="F17" s="127"/>
      <c r="G17" s="126"/>
      <c r="H17" s="127" t="s">
        <v>230</v>
      </c>
      <c r="I17" s="127"/>
      <c r="J17" s="126"/>
      <c r="K17" s="127" t="s">
        <v>230</v>
      </c>
      <c r="L17" s="127"/>
    </row>
    <row r="18" spans="1:13" ht="66.75" thickBot="1">
      <c r="A18" s="204"/>
      <c r="B18" s="4" t="s">
        <v>77</v>
      </c>
      <c r="C18" s="47" t="s">
        <v>229</v>
      </c>
      <c r="D18" s="128"/>
      <c r="E18" s="121"/>
      <c r="F18" s="121" t="s">
        <v>230</v>
      </c>
      <c r="G18" s="128"/>
      <c r="H18" s="121"/>
      <c r="I18" s="121" t="s">
        <v>230</v>
      </c>
      <c r="J18" s="128"/>
      <c r="K18" s="121"/>
      <c r="L18" s="121" t="s">
        <v>230</v>
      </c>
    </row>
    <row r="19" spans="1:13" ht="18" thickTop="1" thickBot="1">
      <c r="A19" s="60" t="s">
        <v>78</v>
      </c>
      <c r="B19" s="200" t="s">
        <v>79</v>
      </c>
      <c r="C19" s="200"/>
      <c r="D19" s="124"/>
      <c r="E19" s="124"/>
      <c r="F19" s="125" t="s">
        <v>230</v>
      </c>
      <c r="G19" s="124"/>
      <c r="H19" s="124"/>
      <c r="I19" s="125" t="s">
        <v>230</v>
      </c>
      <c r="J19" s="124"/>
      <c r="K19" s="124"/>
      <c r="L19" s="125" t="s">
        <v>230</v>
      </c>
    </row>
    <row r="20" spans="1:13">
      <c r="A20" s="202" t="s">
        <v>84</v>
      </c>
      <c r="B20" s="191" t="s">
        <v>81</v>
      </c>
      <c r="C20" s="191"/>
      <c r="D20" s="126"/>
      <c r="E20" s="126"/>
      <c r="F20" s="127" t="s">
        <v>230</v>
      </c>
      <c r="G20" s="126"/>
      <c r="H20" s="126"/>
      <c r="I20" s="127" t="s">
        <v>230</v>
      </c>
      <c r="J20" s="126"/>
      <c r="K20" s="126"/>
      <c r="L20" s="127" t="s">
        <v>230</v>
      </c>
    </row>
    <row r="21" spans="1:13" ht="34.5" customHeight="1" thickBot="1">
      <c r="A21" s="204"/>
      <c r="B21" s="233" t="s">
        <v>82</v>
      </c>
      <c r="C21" s="234"/>
      <c r="D21" s="129"/>
      <c r="E21" s="129"/>
      <c r="F21" s="117" t="s">
        <v>230</v>
      </c>
      <c r="G21" s="129"/>
      <c r="H21" s="129"/>
      <c r="I21" s="117" t="s">
        <v>230</v>
      </c>
      <c r="J21" s="129"/>
      <c r="K21" s="129"/>
      <c r="L21" s="117" t="s">
        <v>230</v>
      </c>
    </row>
    <row r="22" spans="1:13" ht="17.25" thickBot="1">
      <c r="A22" s="62" t="s">
        <v>85</v>
      </c>
      <c r="B22" s="201" t="s">
        <v>87</v>
      </c>
      <c r="C22" s="201"/>
      <c r="D22" s="130"/>
      <c r="E22" s="130"/>
      <c r="F22" s="131" t="s">
        <v>230</v>
      </c>
      <c r="G22" s="130"/>
      <c r="H22" s="130"/>
      <c r="I22" s="131" t="s">
        <v>230</v>
      </c>
      <c r="J22" s="130"/>
      <c r="K22" s="130"/>
      <c r="L22" s="131" t="s">
        <v>230</v>
      </c>
    </row>
    <row r="23" spans="1:13" ht="17.25" thickBot="1">
      <c r="A23" s="89" t="s">
        <v>86</v>
      </c>
      <c r="B23" s="216" t="s">
        <v>232</v>
      </c>
      <c r="C23" s="216"/>
      <c r="D23" s="132"/>
      <c r="E23" s="132"/>
      <c r="F23" s="133" t="s">
        <v>230</v>
      </c>
      <c r="G23" s="132"/>
      <c r="H23" s="132"/>
      <c r="I23" s="133" t="s">
        <v>230</v>
      </c>
      <c r="J23" s="132"/>
      <c r="K23" s="132"/>
      <c r="L23" s="133" t="s">
        <v>230</v>
      </c>
    </row>
    <row r="24" spans="1:13" ht="33" customHeight="1" thickBot="1">
      <c r="A24" s="173" t="s">
        <v>138</v>
      </c>
      <c r="B24" s="174"/>
      <c r="C24" s="174"/>
      <c r="D24" s="102" t="s">
        <v>136</v>
      </c>
      <c r="E24" s="102" t="s">
        <v>136</v>
      </c>
      <c r="F24" s="102" t="s">
        <v>137</v>
      </c>
      <c r="G24" s="102" t="s">
        <v>136</v>
      </c>
      <c r="H24" s="102" t="s">
        <v>136</v>
      </c>
      <c r="I24" s="102" t="s">
        <v>137</v>
      </c>
      <c r="J24" s="102" t="s">
        <v>136</v>
      </c>
      <c r="K24" s="102" t="s">
        <v>136</v>
      </c>
      <c r="L24" s="102" t="s">
        <v>137</v>
      </c>
      <c r="M24" s="104"/>
    </row>
  </sheetData>
  <mergeCells count="21">
    <mergeCell ref="A1:C1"/>
    <mergeCell ref="B2:B4"/>
    <mergeCell ref="B6:B7"/>
    <mergeCell ref="A24:C24"/>
    <mergeCell ref="B22:C22"/>
    <mergeCell ref="B23:C23"/>
    <mergeCell ref="B13:C13"/>
    <mergeCell ref="A20:A21"/>
    <mergeCell ref="A2:A8"/>
    <mergeCell ref="A9:A13"/>
    <mergeCell ref="B19:C19"/>
    <mergeCell ref="B20:C20"/>
    <mergeCell ref="B21:C21"/>
    <mergeCell ref="B10:C10"/>
    <mergeCell ref="B14:C14"/>
    <mergeCell ref="A14:A15"/>
    <mergeCell ref="B12:C12"/>
    <mergeCell ref="B17:C17"/>
    <mergeCell ref="B11:C11"/>
    <mergeCell ref="A17:A18"/>
    <mergeCell ref="B16:C16"/>
  </mergeCells>
  <phoneticPr fontId="2" type="noConversion"/>
  <conditionalFormatting sqref="A24:XFD24">
    <cfRule type="cellIs" dxfId="7" priority="1" operator="equal">
      <formula>"Fail"</formula>
    </cfRule>
    <cfRule type="cellIs" dxfId="6" priority="2" operator="equal">
      <formula>"Pass"</formula>
    </cfRule>
  </conditionalFormatting>
  <conditionalFormatting sqref="D2:L23">
    <cfRule type="cellIs" dxfId="5" priority="3" operator="equal">
      <formula>"T"</formula>
    </cfRule>
  </conditionalFormatting>
  <dataValidations count="1">
    <dataValidation type="list" allowBlank="1" showInputMessage="1" showErrorMessage="1" sqref="D24:Q24" xr:uid="{B1E55FEB-1784-47DF-9E99-B4948B572B1F}">
      <formula1>"Pass,Fail"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A6D66-2D46-4ACC-ABDC-0369123238EE}">
  <sheetPr>
    <tabColor theme="8" tint="0.79998168889431442"/>
  </sheetPr>
  <dimension ref="A1:L31"/>
  <sheetViews>
    <sheetView workbookViewId="0">
      <selection sqref="A1:E1"/>
    </sheetView>
  </sheetViews>
  <sheetFormatPr defaultRowHeight="16.5"/>
  <cols>
    <col min="1" max="1" width="9" style="1"/>
    <col min="2" max="2" width="18.75" style="1" bestFit="1" customWidth="1"/>
    <col min="3" max="4" width="9" style="1"/>
    <col min="5" max="5" width="13" style="1" bestFit="1" customWidth="1"/>
    <col min="6" max="6" width="57.5" customWidth="1"/>
    <col min="7" max="7" width="24" bestFit="1" customWidth="1"/>
    <col min="8" max="8" width="26.5" style="1" bestFit="1" customWidth="1"/>
    <col min="9" max="9" width="18.375" style="1" bestFit="1" customWidth="1"/>
  </cols>
  <sheetData>
    <row r="1" spans="1:12" ht="65.25" customHeight="1" thickBot="1">
      <c r="A1" s="244" t="s">
        <v>247</v>
      </c>
      <c r="B1" s="244"/>
      <c r="C1" s="244"/>
      <c r="D1" s="244"/>
      <c r="E1" s="244"/>
    </row>
    <row r="2" spans="1:12" ht="17.25" thickBot="1">
      <c r="A2" s="97" t="s">
        <v>104</v>
      </c>
      <c r="B2" s="98" t="s">
        <v>103</v>
      </c>
      <c r="C2" s="98" t="s">
        <v>106</v>
      </c>
      <c r="D2" s="98" t="s">
        <v>110</v>
      </c>
      <c r="E2" s="98" t="s">
        <v>114</v>
      </c>
      <c r="F2" s="98" t="s">
        <v>105</v>
      </c>
      <c r="G2" s="98" t="s">
        <v>196</v>
      </c>
      <c r="H2" s="98" t="s">
        <v>198</v>
      </c>
      <c r="I2" s="99" t="s">
        <v>131</v>
      </c>
      <c r="K2" s="236" t="s">
        <v>195</v>
      </c>
      <c r="L2" s="237"/>
    </row>
    <row r="3" spans="1:12">
      <c r="A3" s="90">
        <v>1</v>
      </c>
      <c r="B3" s="91" t="s">
        <v>166</v>
      </c>
      <c r="C3" s="92">
        <v>1</v>
      </c>
      <c r="D3" s="91" t="s">
        <v>111</v>
      </c>
      <c r="E3" s="91" t="s">
        <v>111</v>
      </c>
      <c r="F3" s="93" t="s">
        <v>118</v>
      </c>
      <c r="G3" s="93"/>
      <c r="H3" s="91" t="s">
        <v>209</v>
      </c>
      <c r="I3" s="100" t="s">
        <v>136</v>
      </c>
    </row>
    <row r="4" spans="1:12">
      <c r="A4" s="90">
        <v>2</v>
      </c>
      <c r="B4" s="91" t="s">
        <v>167</v>
      </c>
      <c r="C4" s="245">
        <v>2</v>
      </c>
      <c r="D4" s="247" t="s">
        <v>112</v>
      </c>
      <c r="E4" s="91" t="s">
        <v>112</v>
      </c>
      <c r="F4" s="94" t="s">
        <v>108</v>
      </c>
      <c r="G4" s="94"/>
      <c r="H4" s="91"/>
      <c r="I4" s="100" t="s">
        <v>136</v>
      </c>
    </row>
    <row r="5" spans="1:12">
      <c r="A5" s="90">
        <v>3</v>
      </c>
      <c r="B5" s="91" t="s">
        <v>168</v>
      </c>
      <c r="C5" s="245"/>
      <c r="D5" s="247"/>
      <c r="E5" s="91" t="s">
        <v>115</v>
      </c>
      <c r="F5" s="94" t="s">
        <v>119</v>
      </c>
      <c r="G5" s="94"/>
      <c r="H5" s="91"/>
      <c r="I5" s="100" t="s">
        <v>136</v>
      </c>
    </row>
    <row r="6" spans="1:12">
      <c r="A6" s="90">
        <v>4</v>
      </c>
      <c r="B6" s="91" t="s">
        <v>221</v>
      </c>
      <c r="C6" s="245"/>
      <c r="D6" s="247"/>
      <c r="E6" s="91" t="s">
        <v>192</v>
      </c>
      <c r="F6" s="94" t="s">
        <v>193</v>
      </c>
      <c r="G6" s="91" t="s">
        <v>197</v>
      </c>
      <c r="H6" s="91" t="s">
        <v>199</v>
      </c>
      <c r="I6" s="100" t="s">
        <v>137</v>
      </c>
    </row>
    <row r="7" spans="1:12">
      <c r="A7" s="90">
        <v>5</v>
      </c>
      <c r="B7" s="91" t="s">
        <v>222</v>
      </c>
      <c r="C7" s="245"/>
      <c r="D7" s="247"/>
      <c r="E7" s="91" t="s">
        <v>192</v>
      </c>
      <c r="F7" s="94" t="s">
        <v>194</v>
      </c>
      <c r="G7" s="91" t="s">
        <v>200</v>
      </c>
      <c r="H7" s="91" t="s">
        <v>201</v>
      </c>
      <c r="I7" s="100" t="s">
        <v>136</v>
      </c>
    </row>
    <row r="8" spans="1:12">
      <c r="A8" s="90">
        <v>6</v>
      </c>
      <c r="B8" s="91" t="s">
        <v>169</v>
      </c>
      <c r="C8" s="241">
        <v>3</v>
      </c>
      <c r="D8" s="238" t="s">
        <v>112</v>
      </c>
      <c r="E8" s="91" t="s">
        <v>112</v>
      </c>
      <c r="F8" s="94" t="s">
        <v>109</v>
      </c>
      <c r="G8" s="94"/>
      <c r="H8" s="91"/>
      <c r="I8" s="100" t="s">
        <v>136</v>
      </c>
    </row>
    <row r="9" spans="1:12">
      <c r="A9" s="90">
        <v>7</v>
      </c>
      <c r="B9" s="91" t="s">
        <v>170</v>
      </c>
      <c r="C9" s="242"/>
      <c r="D9" s="239"/>
      <c r="E9" s="91" t="s">
        <v>115</v>
      </c>
      <c r="F9" s="94" t="s">
        <v>119</v>
      </c>
      <c r="G9" s="94"/>
      <c r="H9" s="91"/>
      <c r="I9" s="100" t="s">
        <v>136</v>
      </c>
    </row>
    <row r="10" spans="1:12" ht="27.75">
      <c r="A10" s="90">
        <v>8</v>
      </c>
      <c r="B10" s="91" t="s">
        <v>223</v>
      </c>
      <c r="C10" s="242"/>
      <c r="D10" s="239"/>
      <c r="E10" s="91" t="s">
        <v>192</v>
      </c>
      <c r="F10" s="110" t="s">
        <v>207</v>
      </c>
      <c r="G10" s="1" t="s">
        <v>202</v>
      </c>
      <c r="H10" s="91" t="s">
        <v>203</v>
      </c>
      <c r="I10" s="100" t="s">
        <v>137</v>
      </c>
    </row>
    <row r="11" spans="1:12" ht="27.75">
      <c r="A11" s="90">
        <v>9</v>
      </c>
      <c r="B11" s="91" t="s">
        <v>224</v>
      </c>
      <c r="C11" s="242"/>
      <c r="D11" s="239"/>
      <c r="E11" s="91" t="s">
        <v>204</v>
      </c>
      <c r="F11" s="110" t="s">
        <v>208</v>
      </c>
      <c r="G11" s="91" t="s">
        <v>205</v>
      </c>
      <c r="H11" s="91" t="s">
        <v>206</v>
      </c>
      <c r="I11" s="100" t="s">
        <v>136</v>
      </c>
    </row>
    <row r="12" spans="1:12" ht="28.5">
      <c r="A12" s="90">
        <v>10</v>
      </c>
      <c r="B12" s="91" t="s">
        <v>225</v>
      </c>
      <c r="C12" s="243"/>
      <c r="D12" s="240"/>
      <c r="E12" s="91" t="s">
        <v>217</v>
      </c>
      <c r="F12" s="110" t="s">
        <v>218</v>
      </c>
      <c r="G12" s="91" t="s">
        <v>219</v>
      </c>
      <c r="H12" s="91" t="s">
        <v>220</v>
      </c>
      <c r="I12" s="100" t="s">
        <v>137</v>
      </c>
    </row>
    <row r="13" spans="1:12">
      <c r="A13" s="90">
        <v>11</v>
      </c>
      <c r="B13" s="91" t="s">
        <v>171</v>
      </c>
      <c r="C13" s="245">
        <v>4</v>
      </c>
      <c r="D13" s="247" t="s">
        <v>113</v>
      </c>
      <c r="E13" s="91" t="s">
        <v>111</v>
      </c>
      <c r="F13" s="93" t="s">
        <v>117</v>
      </c>
      <c r="G13" s="93"/>
      <c r="H13" s="91" t="s">
        <v>210</v>
      </c>
      <c r="I13" s="100" t="s">
        <v>136</v>
      </c>
    </row>
    <row r="14" spans="1:12">
      <c r="A14" s="90">
        <v>12</v>
      </c>
      <c r="B14" s="91" t="s">
        <v>172</v>
      </c>
      <c r="C14" s="245"/>
      <c r="D14" s="247"/>
      <c r="E14" s="91" t="s">
        <v>115</v>
      </c>
      <c r="F14" s="94" t="s">
        <v>116</v>
      </c>
      <c r="G14" s="94"/>
      <c r="H14" s="91"/>
      <c r="I14" s="100" t="s">
        <v>136</v>
      </c>
    </row>
    <row r="15" spans="1:12">
      <c r="A15" s="90">
        <v>13</v>
      </c>
      <c r="B15" s="91" t="s">
        <v>173</v>
      </c>
      <c r="C15" s="245"/>
      <c r="D15" s="247"/>
      <c r="E15" s="91" t="s">
        <v>120</v>
      </c>
      <c r="F15" s="94" t="s">
        <v>122</v>
      </c>
      <c r="G15" s="94"/>
      <c r="H15" s="91"/>
      <c r="I15" s="100" t="s">
        <v>136</v>
      </c>
    </row>
    <row r="16" spans="1:12">
      <c r="A16" s="90">
        <v>14</v>
      </c>
      <c r="B16" s="91" t="s">
        <v>174</v>
      </c>
      <c r="C16" s="245"/>
      <c r="D16" s="247"/>
      <c r="E16" s="91" t="s">
        <v>120</v>
      </c>
      <c r="F16" s="94" t="s">
        <v>121</v>
      </c>
      <c r="G16" s="94"/>
      <c r="H16" s="91"/>
      <c r="I16" s="100" t="s">
        <v>136</v>
      </c>
    </row>
    <row r="17" spans="1:9">
      <c r="A17" s="90">
        <v>15</v>
      </c>
      <c r="B17" s="91" t="s">
        <v>175</v>
      </c>
      <c r="C17" s="245"/>
      <c r="D17" s="247"/>
      <c r="E17" s="91" t="s">
        <v>120</v>
      </c>
      <c r="F17" s="94" t="s">
        <v>123</v>
      </c>
      <c r="G17" s="94"/>
      <c r="H17" s="91"/>
      <c r="I17" s="100" t="s">
        <v>137</v>
      </c>
    </row>
    <row r="18" spans="1:9">
      <c r="A18" s="90">
        <v>16</v>
      </c>
      <c r="B18" s="91" t="s">
        <v>176</v>
      </c>
      <c r="C18" s="245">
        <v>5</v>
      </c>
      <c r="D18" s="247" t="s">
        <v>113</v>
      </c>
      <c r="E18" s="91" t="s">
        <v>111</v>
      </c>
      <c r="F18" s="93" t="s">
        <v>124</v>
      </c>
      <c r="G18" s="93"/>
      <c r="H18" s="91" t="s">
        <v>211</v>
      </c>
      <c r="I18" s="100" t="s">
        <v>136</v>
      </c>
    </row>
    <row r="19" spans="1:9">
      <c r="A19" s="90">
        <v>17</v>
      </c>
      <c r="B19" s="91" t="s">
        <v>177</v>
      </c>
      <c r="C19" s="245"/>
      <c r="D19" s="247"/>
      <c r="E19" s="91" t="s">
        <v>115</v>
      </c>
      <c r="F19" s="94" t="s">
        <v>116</v>
      </c>
      <c r="G19" s="94"/>
      <c r="H19" s="91"/>
      <c r="I19" s="100" t="s">
        <v>136</v>
      </c>
    </row>
    <row r="20" spans="1:9">
      <c r="A20" s="90">
        <v>18</v>
      </c>
      <c r="B20" s="91" t="s">
        <v>178</v>
      </c>
      <c r="C20" s="245"/>
      <c r="D20" s="247"/>
      <c r="E20" s="91" t="s">
        <v>120</v>
      </c>
      <c r="F20" s="94" t="s">
        <v>125</v>
      </c>
      <c r="G20" s="94"/>
      <c r="H20" s="91"/>
      <c r="I20" s="100" t="s">
        <v>136</v>
      </c>
    </row>
    <row r="21" spans="1:9">
      <c r="A21" s="90">
        <v>19</v>
      </c>
      <c r="B21" s="91" t="s">
        <v>179</v>
      </c>
      <c r="C21" s="245"/>
      <c r="D21" s="247"/>
      <c r="E21" s="91" t="s">
        <v>120</v>
      </c>
      <c r="F21" s="94" t="s">
        <v>126</v>
      </c>
      <c r="G21" s="94"/>
      <c r="H21" s="91"/>
      <c r="I21" s="100" t="s">
        <v>136</v>
      </c>
    </row>
    <row r="22" spans="1:9">
      <c r="A22" s="90">
        <v>20</v>
      </c>
      <c r="B22" s="91" t="s">
        <v>180</v>
      </c>
      <c r="C22" s="245"/>
      <c r="D22" s="247"/>
      <c r="E22" s="91" t="s">
        <v>120</v>
      </c>
      <c r="F22" s="94" t="s">
        <v>127</v>
      </c>
      <c r="G22" s="94"/>
      <c r="H22" s="91"/>
      <c r="I22" s="100" t="s">
        <v>136</v>
      </c>
    </row>
    <row r="23" spans="1:9">
      <c r="A23" s="90">
        <v>21</v>
      </c>
      <c r="B23" s="91" t="s">
        <v>181</v>
      </c>
      <c r="C23" s="245">
        <v>6</v>
      </c>
      <c r="D23" s="247" t="s">
        <v>113</v>
      </c>
      <c r="E23" s="91" t="s">
        <v>111</v>
      </c>
      <c r="F23" s="93" t="s">
        <v>128</v>
      </c>
      <c r="G23" s="93"/>
      <c r="H23" s="91" t="s">
        <v>212</v>
      </c>
      <c r="I23" s="100" t="s">
        <v>136</v>
      </c>
    </row>
    <row r="24" spans="1:9">
      <c r="A24" s="90">
        <v>22</v>
      </c>
      <c r="B24" s="91" t="s">
        <v>182</v>
      </c>
      <c r="C24" s="245"/>
      <c r="D24" s="247"/>
      <c r="E24" s="91" t="s">
        <v>115</v>
      </c>
      <c r="F24" s="94" t="s">
        <v>116</v>
      </c>
      <c r="G24" s="94"/>
      <c r="H24" s="91"/>
      <c r="I24" s="100" t="s">
        <v>136</v>
      </c>
    </row>
    <row r="25" spans="1:9">
      <c r="A25" s="90">
        <v>23</v>
      </c>
      <c r="B25" s="91" t="s">
        <v>183</v>
      </c>
      <c r="C25" s="245"/>
      <c r="D25" s="247"/>
      <c r="E25" s="91" t="s">
        <v>120</v>
      </c>
      <c r="F25" s="94" t="s">
        <v>125</v>
      </c>
      <c r="G25" s="94"/>
      <c r="H25" s="91"/>
      <c r="I25" s="100" t="s">
        <v>136</v>
      </c>
    </row>
    <row r="26" spans="1:9">
      <c r="A26" s="90">
        <v>24</v>
      </c>
      <c r="B26" s="91" t="s">
        <v>184</v>
      </c>
      <c r="C26" s="245"/>
      <c r="D26" s="247"/>
      <c r="E26" s="91" t="s">
        <v>120</v>
      </c>
      <c r="F26" s="94" t="s">
        <v>126</v>
      </c>
      <c r="G26" s="94"/>
      <c r="H26" s="91"/>
      <c r="I26" s="100" t="s">
        <v>136</v>
      </c>
    </row>
    <row r="27" spans="1:9">
      <c r="A27" s="90">
        <v>25</v>
      </c>
      <c r="B27" s="91" t="s">
        <v>185</v>
      </c>
      <c r="C27" s="245"/>
      <c r="D27" s="247"/>
      <c r="E27" s="91" t="s">
        <v>120</v>
      </c>
      <c r="F27" s="94" t="s">
        <v>127</v>
      </c>
      <c r="G27" s="94"/>
      <c r="H27" s="91"/>
      <c r="I27" s="100" t="s">
        <v>137</v>
      </c>
    </row>
    <row r="28" spans="1:9">
      <c r="A28" s="90">
        <v>26</v>
      </c>
      <c r="B28" s="91" t="s">
        <v>186</v>
      </c>
      <c r="C28" s="245">
        <v>7</v>
      </c>
      <c r="D28" s="247" t="s">
        <v>129</v>
      </c>
      <c r="E28" s="91" t="s">
        <v>107</v>
      </c>
      <c r="F28" s="94" t="s">
        <v>132</v>
      </c>
      <c r="G28" s="94"/>
      <c r="H28" s="91"/>
      <c r="I28" s="100" t="s">
        <v>136</v>
      </c>
    </row>
    <row r="29" spans="1:9">
      <c r="A29" s="90">
        <v>27</v>
      </c>
      <c r="B29" s="91" t="s">
        <v>187</v>
      </c>
      <c r="C29" s="245"/>
      <c r="D29" s="247"/>
      <c r="E29" s="91" t="s">
        <v>120</v>
      </c>
      <c r="F29" s="94" t="s">
        <v>135</v>
      </c>
      <c r="G29" s="94"/>
      <c r="H29" s="91"/>
      <c r="I29" s="100" t="s">
        <v>136</v>
      </c>
    </row>
    <row r="30" spans="1:9">
      <c r="A30" s="90">
        <v>28</v>
      </c>
      <c r="B30" s="91" t="s">
        <v>188</v>
      </c>
      <c r="C30" s="245">
        <v>8</v>
      </c>
      <c r="D30" s="247" t="s">
        <v>130</v>
      </c>
      <c r="E30" s="91" t="s">
        <v>107</v>
      </c>
      <c r="F30" s="94" t="s">
        <v>133</v>
      </c>
      <c r="G30" s="94"/>
      <c r="H30" s="91"/>
      <c r="I30" s="100" t="s">
        <v>136</v>
      </c>
    </row>
    <row r="31" spans="1:9" ht="17.25" thickBot="1">
      <c r="A31" s="90">
        <v>29</v>
      </c>
      <c r="B31" s="95" t="s">
        <v>189</v>
      </c>
      <c r="C31" s="246"/>
      <c r="D31" s="248"/>
      <c r="E31" s="95" t="s">
        <v>120</v>
      </c>
      <c r="F31" s="96" t="s">
        <v>134</v>
      </c>
      <c r="G31" s="96"/>
      <c r="H31" s="95"/>
      <c r="I31" s="101" t="s">
        <v>136</v>
      </c>
    </row>
  </sheetData>
  <mergeCells count="16">
    <mergeCell ref="K2:L2"/>
    <mergeCell ref="D8:D12"/>
    <mergeCell ref="C8:C12"/>
    <mergeCell ref="A1:E1"/>
    <mergeCell ref="C30:C31"/>
    <mergeCell ref="D4:D7"/>
    <mergeCell ref="D13:D17"/>
    <mergeCell ref="D18:D22"/>
    <mergeCell ref="D23:D27"/>
    <mergeCell ref="D28:D29"/>
    <mergeCell ref="D30:D31"/>
    <mergeCell ref="C4:C7"/>
    <mergeCell ref="C13:C17"/>
    <mergeCell ref="C18:C22"/>
    <mergeCell ref="C23:C27"/>
    <mergeCell ref="C28:C29"/>
  </mergeCells>
  <phoneticPr fontId="2" type="noConversion"/>
  <conditionalFormatting sqref="I3:I31">
    <cfRule type="cellIs" dxfId="4" priority="1" operator="equal">
      <formula>"Fail"</formula>
    </cfRule>
    <cfRule type="cellIs" dxfId="3" priority="2" operator="equal">
      <formula>"Pass"</formula>
    </cfRule>
  </conditionalFormatting>
  <dataValidations count="1">
    <dataValidation type="list" allowBlank="1" showInputMessage="1" showErrorMessage="1" sqref="I3:I31" xr:uid="{60205671-05CB-4E65-AC8C-C4A637457039}">
      <formula1>"Pass,Fail"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E2D77-A93A-47DD-AB23-D9FDD3515327}">
  <sheetPr>
    <tabColor theme="9" tint="0.79998168889431442"/>
  </sheetPr>
  <dimension ref="A1:F24"/>
  <sheetViews>
    <sheetView workbookViewId="0">
      <selection activeCell="E4" sqref="E4"/>
    </sheetView>
  </sheetViews>
  <sheetFormatPr defaultRowHeight="16.5"/>
  <cols>
    <col min="1" max="1" width="13.875" customWidth="1"/>
    <col min="2" max="2" width="55.5" customWidth="1"/>
    <col min="3" max="5" width="42.625" customWidth="1"/>
    <col min="6" max="6" width="40.375" bestFit="1" customWidth="1"/>
  </cols>
  <sheetData>
    <row r="1" spans="1:6" ht="27.75" thickBot="1">
      <c r="A1" s="166" t="s">
        <v>250</v>
      </c>
      <c r="B1" s="167"/>
      <c r="C1" s="168"/>
    </row>
    <row r="2" spans="1:6">
      <c r="A2" s="142" t="s">
        <v>251</v>
      </c>
      <c r="B2" s="249" t="s">
        <v>252</v>
      </c>
      <c r="C2" s="250"/>
      <c r="D2" s="162" t="s">
        <v>324</v>
      </c>
    </row>
    <row r="3" spans="1:6" ht="17.25" thickBot="1">
      <c r="A3" s="143" t="s">
        <v>253</v>
      </c>
      <c r="B3" s="251" t="s">
        <v>298</v>
      </c>
      <c r="C3" s="252"/>
      <c r="D3" s="163" t="s">
        <v>136</v>
      </c>
    </row>
    <row r="4" spans="1:6">
      <c r="A4" s="143" t="s">
        <v>255</v>
      </c>
      <c r="B4" s="253" t="s">
        <v>311</v>
      </c>
      <c r="C4" s="254"/>
    </row>
    <row r="5" spans="1:6" ht="17.25" thickBot="1">
      <c r="A5" s="144" t="s">
        <v>254</v>
      </c>
      <c r="B5" s="255" t="s">
        <v>258</v>
      </c>
      <c r="C5" s="256"/>
    </row>
    <row r="6" spans="1:6" ht="17.25" thickBot="1"/>
    <row r="7" spans="1:6" ht="17.25" thickBot="1">
      <c r="A7" s="145" t="s">
        <v>248</v>
      </c>
      <c r="B7" s="146" t="s">
        <v>249</v>
      </c>
      <c r="C7" s="146" t="s">
        <v>256</v>
      </c>
      <c r="D7" s="146" t="s">
        <v>257</v>
      </c>
      <c r="E7" s="146" t="s">
        <v>265</v>
      </c>
      <c r="F7" s="147" t="s">
        <v>268</v>
      </c>
    </row>
    <row r="8" spans="1:6" ht="33">
      <c r="A8" s="148">
        <v>1</v>
      </c>
      <c r="B8" s="149" t="s">
        <v>259</v>
      </c>
      <c r="C8" s="8" t="s">
        <v>28</v>
      </c>
      <c r="D8" s="150" t="s">
        <v>266</v>
      </c>
      <c r="E8" s="161"/>
      <c r="F8" s="151"/>
    </row>
    <row r="9" spans="1:6">
      <c r="A9" s="152">
        <v>2</v>
      </c>
      <c r="B9" s="140" t="s">
        <v>260</v>
      </c>
      <c r="C9" s="5" t="s">
        <v>261</v>
      </c>
      <c r="D9" s="5" t="s">
        <v>262</v>
      </c>
      <c r="E9" s="138"/>
      <c r="F9" s="153"/>
    </row>
    <row r="10" spans="1:6" ht="49.5">
      <c r="A10" s="152">
        <v>3</v>
      </c>
      <c r="B10" s="140" t="s">
        <v>272</v>
      </c>
      <c r="C10" s="5" t="s">
        <v>263</v>
      </c>
      <c r="D10" s="139" t="s">
        <v>267</v>
      </c>
      <c r="E10" s="139" t="s">
        <v>264</v>
      </c>
      <c r="F10" s="153"/>
    </row>
    <row r="11" spans="1:6">
      <c r="A11" s="152">
        <v>4</v>
      </c>
      <c r="B11" s="140" t="s">
        <v>271</v>
      </c>
      <c r="C11" s="139" t="s">
        <v>269</v>
      </c>
      <c r="D11" s="139" t="s">
        <v>270</v>
      </c>
      <c r="E11" s="5" t="s">
        <v>275</v>
      </c>
      <c r="F11" s="154" t="s">
        <v>273</v>
      </c>
    </row>
    <row r="12" spans="1:6" ht="49.5">
      <c r="A12" s="152">
        <v>5</v>
      </c>
      <c r="B12" s="140" t="s">
        <v>276</v>
      </c>
      <c r="C12" s="5" t="s">
        <v>274</v>
      </c>
      <c r="D12" s="139" t="s">
        <v>277</v>
      </c>
      <c r="E12" s="139" t="s">
        <v>283</v>
      </c>
      <c r="F12" s="153"/>
    </row>
    <row r="13" spans="1:6" ht="66">
      <c r="A13" s="152">
        <v>6</v>
      </c>
      <c r="B13" s="141" t="s">
        <v>278</v>
      </c>
      <c r="C13" s="139" t="s">
        <v>304</v>
      </c>
      <c r="D13" s="138"/>
      <c r="E13" s="138"/>
      <c r="F13" s="155" t="s">
        <v>284</v>
      </c>
    </row>
    <row r="14" spans="1:6" ht="61.5">
      <c r="A14" s="152">
        <v>7</v>
      </c>
      <c r="B14" s="140" t="s">
        <v>279</v>
      </c>
      <c r="C14" s="139" t="s">
        <v>281</v>
      </c>
      <c r="D14" s="139" t="s">
        <v>280</v>
      </c>
      <c r="E14" s="139" t="s">
        <v>282</v>
      </c>
      <c r="F14" s="153"/>
    </row>
    <row r="15" spans="1:6">
      <c r="A15" s="152">
        <v>8</v>
      </c>
      <c r="B15" s="140" t="s">
        <v>285</v>
      </c>
      <c r="C15" s="139" t="s">
        <v>286</v>
      </c>
      <c r="D15" s="139" t="s">
        <v>287</v>
      </c>
      <c r="E15" s="138"/>
      <c r="F15" s="153"/>
    </row>
    <row r="16" spans="1:6" ht="66">
      <c r="A16" s="152">
        <v>9</v>
      </c>
      <c r="B16" s="140" t="s">
        <v>288</v>
      </c>
      <c r="C16" s="139" t="s">
        <v>305</v>
      </c>
      <c r="D16" s="138"/>
      <c r="E16" s="138"/>
      <c r="F16" s="153"/>
    </row>
    <row r="17" spans="1:6" ht="49.5">
      <c r="A17" s="152">
        <v>10</v>
      </c>
      <c r="B17" s="140" t="s">
        <v>279</v>
      </c>
      <c r="C17" s="139" t="s">
        <v>289</v>
      </c>
      <c r="D17" s="139" t="s">
        <v>293</v>
      </c>
      <c r="E17" s="5" t="s">
        <v>290</v>
      </c>
      <c r="F17" s="154" t="s">
        <v>292</v>
      </c>
    </row>
    <row r="18" spans="1:6">
      <c r="A18" s="152">
        <v>11</v>
      </c>
      <c r="B18" s="140" t="s">
        <v>291</v>
      </c>
      <c r="C18" s="139" t="s">
        <v>294</v>
      </c>
      <c r="D18" s="139" t="s">
        <v>295</v>
      </c>
      <c r="E18" s="138"/>
      <c r="F18" s="154" t="s">
        <v>300</v>
      </c>
    </row>
    <row r="19" spans="1:6" ht="49.5">
      <c r="A19" s="152">
        <v>12</v>
      </c>
      <c r="B19" s="141" t="s">
        <v>299</v>
      </c>
      <c r="C19" s="139" t="s">
        <v>296</v>
      </c>
      <c r="D19" s="139" t="s">
        <v>297</v>
      </c>
      <c r="E19" s="138"/>
      <c r="F19" s="153"/>
    </row>
    <row r="20" spans="1:6" ht="33">
      <c r="A20" s="152">
        <v>13</v>
      </c>
      <c r="B20" s="141" t="s">
        <v>312</v>
      </c>
      <c r="C20" s="139" t="s">
        <v>315</v>
      </c>
      <c r="D20" s="139" t="s">
        <v>313</v>
      </c>
      <c r="E20" s="139" t="s">
        <v>314</v>
      </c>
      <c r="F20" s="154"/>
    </row>
    <row r="21" spans="1:6" ht="33">
      <c r="A21" s="152">
        <v>14</v>
      </c>
      <c r="B21" s="141" t="s">
        <v>316</v>
      </c>
      <c r="C21" s="139" t="s">
        <v>317</v>
      </c>
      <c r="D21" s="139" t="s">
        <v>319</v>
      </c>
      <c r="E21" s="139" t="s">
        <v>318</v>
      </c>
      <c r="F21" s="154"/>
    </row>
    <row r="22" spans="1:6" ht="33">
      <c r="A22" s="152">
        <v>15</v>
      </c>
      <c r="B22" s="141" t="s">
        <v>320</v>
      </c>
      <c r="C22" s="139" t="s">
        <v>321</v>
      </c>
      <c r="D22" s="139" t="s">
        <v>306</v>
      </c>
      <c r="E22" s="139" t="s">
        <v>310</v>
      </c>
      <c r="F22" s="154" t="s">
        <v>303</v>
      </c>
    </row>
    <row r="23" spans="1:6" ht="45">
      <c r="A23" s="152">
        <v>16</v>
      </c>
      <c r="B23" s="140" t="s">
        <v>301</v>
      </c>
      <c r="C23" s="139" t="s">
        <v>323</v>
      </c>
      <c r="D23" s="139" t="s">
        <v>307</v>
      </c>
      <c r="E23" s="5" t="s">
        <v>309</v>
      </c>
      <c r="F23" s="153"/>
    </row>
    <row r="24" spans="1:6" ht="45.75" thickBot="1">
      <c r="A24" s="156">
        <v>17</v>
      </c>
      <c r="B24" s="157" t="s">
        <v>302</v>
      </c>
      <c r="C24" s="158" t="s">
        <v>322</v>
      </c>
      <c r="D24" s="158" t="s">
        <v>308</v>
      </c>
      <c r="E24" s="160"/>
      <c r="F24" s="159"/>
    </row>
  </sheetData>
  <mergeCells count="5">
    <mergeCell ref="A1:C1"/>
    <mergeCell ref="B2:C2"/>
    <mergeCell ref="B3:C3"/>
    <mergeCell ref="B4:C4"/>
    <mergeCell ref="B5:C5"/>
  </mergeCells>
  <phoneticPr fontId="2" type="noConversion"/>
  <conditionalFormatting sqref="D3">
    <cfRule type="cellIs" dxfId="2" priority="1" operator="equal">
      <formula>"Fail"</formula>
    </cfRule>
    <cfRule type="cellIs" dxfId="1" priority="2" operator="equal">
      <formula>"Pass"</formula>
    </cfRule>
  </conditionalFormatting>
  <dataValidations count="1">
    <dataValidation type="list" allowBlank="1" showInputMessage="1" showErrorMessage="1" sqref="D3" xr:uid="{A474246D-AE77-49BC-8CBD-620B75DF3667}">
      <formula1>"Pass,Fail"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EA39A-2F8D-431C-9054-9C105A4B07B4}">
  <sheetPr>
    <tabColor rgb="FFFF0000"/>
  </sheetPr>
  <dimension ref="A1:B12"/>
  <sheetViews>
    <sheetView workbookViewId="0">
      <selection activeCell="F10" sqref="F10"/>
    </sheetView>
  </sheetViews>
  <sheetFormatPr defaultRowHeight="16.5"/>
  <cols>
    <col min="1" max="1" width="24" style="109" customWidth="1"/>
    <col min="2" max="2" width="86.875" customWidth="1"/>
    <col min="3" max="3" width="5.125" customWidth="1"/>
  </cols>
  <sheetData>
    <row r="1" spans="1:2" ht="42.75" customHeight="1">
      <c r="A1" s="262" t="s">
        <v>147</v>
      </c>
      <c r="B1" s="262"/>
    </row>
    <row r="3" spans="1:2">
      <c r="A3" s="28" t="s">
        <v>165</v>
      </c>
      <c r="B3" s="94" t="s">
        <v>164</v>
      </c>
    </row>
    <row r="4" spans="1:2">
      <c r="A4" s="28" t="s">
        <v>148</v>
      </c>
      <c r="B4" s="94" t="s">
        <v>163</v>
      </c>
    </row>
    <row r="5" spans="1:2">
      <c r="A5" s="28" t="s">
        <v>155</v>
      </c>
      <c r="B5" s="94" t="s">
        <v>59</v>
      </c>
    </row>
    <row r="6" spans="1:2">
      <c r="A6" s="28" t="s">
        <v>156</v>
      </c>
      <c r="B6" s="94" t="s">
        <v>157</v>
      </c>
    </row>
    <row r="7" spans="1:2">
      <c r="A7" s="28" t="s">
        <v>149</v>
      </c>
      <c r="B7" s="94" t="s">
        <v>158</v>
      </c>
    </row>
    <row r="8" spans="1:2">
      <c r="A8" s="28" t="s">
        <v>150</v>
      </c>
      <c r="B8" s="94" t="s">
        <v>1</v>
      </c>
    </row>
    <row r="9" spans="1:2" ht="82.5">
      <c r="A9" s="28" t="s">
        <v>151</v>
      </c>
      <c r="B9" s="110" t="s">
        <v>159</v>
      </c>
    </row>
    <row r="10" spans="1:2" ht="66">
      <c r="A10" s="28" t="s">
        <v>152</v>
      </c>
      <c r="B10" s="110" t="s">
        <v>160</v>
      </c>
    </row>
    <row r="11" spans="1:2">
      <c r="A11" s="28" t="s">
        <v>153</v>
      </c>
      <c r="B11" s="94" t="s">
        <v>161</v>
      </c>
    </row>
    <row r="12" spans="1:2">
      <c r="A12" s="28" t="s">
        <v>154</v>
      </c>
      <c r="B12" s="94" t="s">
        <v>162</v>
      </c>
    </row>
  </sheetData>
  <mergeCells count="1">
    <mergeCell ref="A1:B1"/>
  </mergeCells>
  <phoneticPr fontId="2" type="noConversion"/>
  <dataValidations count="1">
    <dataValidation type="list" allowBlank="1" showInputMessage="1" showErrorMessage="1" sqref="B7" xr:uid="{89C6662E-503F-452D-902C-FE43EBC1A49B}">
      <formula1>"Critical,Major,Minor"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55356-662D-4938-A3FC-31FD24F9EB95}">
  <dimension ref="A1"/>
  <sheetViews>
    <sheetView zoomScaleNormal="100" workbookViewId="0">
      <selection activeCell="S18" sqref="S18"/>
    </sheetView>
  </sheetViews>
  <sheetFormatPr defaultRowHeight="16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13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Test Result</vt:lpstr>
      <vt:lpstr>Positive Case</vt:lpstr>
      <vt:lpstr>Negative Case</vt:lpstr>
      <vt:lpstr>Edge Case</vt:lpstr>
      <vt:lpstr>FieldRule Case</vt:lpstr>
      <vt:lpstr>E2E Case</vt:lpstr>
      <vt:lpstr>Bug Report</vt:lpstr>
      <vt:lpstr>Layout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shell</dc:creator>
  <cp:lastModifiedBy>허익</cp:lastModifiedBy>
  <cp:revision>2</cp:revision>
  <dcterms:created xsi:type="dcterms:W3CDTF">2026-04-09T11:33:52Z</dcterms:created>
  <dcterms:modified xsi:type="dcterms:W3CDTF">2026-04-20T13:21:59Z</dcterms:modified>
  <cp:version>1100.0100.01</cp:version>
</cp:coreProperties>
</file>